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B:\#RU\2567-2\COS3302\LAB\LAB#3\LAB#3-2\"/>
    </mc:Choice>
  </mc:AlternateContent>
  <xr:revisionPtr revIDLastSave="0" documentId="13_ncr:1_{3FB8F617-D690-4C6E-A604-48AD5DC9F46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Individual" sheetId="2" r:id="rId2"/>
    <sheet name="Dash" sheetId="3" r:id="rId3"/>
  </sheets>
  <definedNames>
    <definedName name="_xlnm._FilterDatabase" localSheetId="1" hidden="1">Individual!$A$1:$H$101</definedName>
    <definedName name="_xlchart.v1.0" hidden="1">Sheet1!$C$12:$C$111</definedName>
    <definedName name="_xlchart.v1.1" hidden="1">Sheet1!$D$12:$D$111</definedName>
    <definedName name="_xlchart.v1.2" hidden="1">Sheet1!$B$11</definedName>
    <definedName name="_xlchart.v1.3" hidden="1">Sheet1!$B$12:$B$111</definedName>
    <definedName name="_xlchart.v1.4" hidden="1">Sheet1!$E$12:$E$111</definedName>
    <definedName name="_xlchart.v1.5" hidden="1">Sheet1!$B$11</definedName>
    <definedName name="_xlchart.v1.6" hidden="1">Sheet1!$B$12:$B$111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6" i="3"/>
  <c r="D5" i="3"/>
  <c r="D4" i="3"/>
  <c r="D3" i="3"/>
  <c r="F15" i="2"/>
  <c r="G15" i="2"/>
  <c r="F24" i="2"/>
  <c r="G24" i="2"/>
  <c r="F9" i="2"/>
  <c r="G9" i="2"/>
  <c r="F92" i="2"/>
  <c r="G92" i="2"/>
  <c r="F55" i="2"/>
  <c r="G55" i="2"/>
  <c r="F51" i="2"/>
  <c r="G51" i="2"/>
  <c r="F6" i="2"/>
  <c r="G6" i="2"/>
  <c r="F4" i="2"/>
  <c r="G4" i="2"/>
  <c r="F42" i="2"/>
  <c r="G42" i="2"/>
  <c r="F81" i="2"/>
  <c r="G81" i="2"/>
  <c r="F41" i="2"/>
  <c r="G41" i="2"/>
  <c r="F39" i="2"/>
  <c r="G39" i="2"/>
  <c r="F28" i="2"/>
  <c r="G28" i="2"/>
  <c r="F14" i="2"/>
  <c r="G14" i="2"/>
  <c r="F84" i="2"/>
  <c r="G84" i="2"/>
  <c r="F17" i="2"/>
  <c r="G17" i="2"/>
  <c r="F86" i="2"/>
  <c r="G86" i="2"/>
  <c r="F99" i="2"/>
  <c r="G99" i="2"/>
  <c r="F27" i="2"/>
  <c r="G27" i="2"/>
  <c r="F22" i="2"/>
  <c r="H22" i="2" s="1"/>
  <c r="G22" i="2"/>
  <c r="F36" i="2"/>
  <c r="G36" i="2"/>
  <c r="F76" i="2"/>
  <c r="G76" i="2"/>
  <c r="F62" i="2"/>
  <c r="G62" i="2"/>
  <c r="F2" i="2"/>
  <c r="G2" i="2"/>
  <c r="F31" i="2"/>
  <c r="G31" i="2"/>
  <c r="F10" i="2"/>
  <c r="G10" i="2"/>
  <c r="F34" i="2"/>
  <c r="G34" i="2"/>
  <c r="F57" i="2"/>
  <c r="H57" i="2" s="1"/>
  <c r="G57" i="2"/>
  <c r="F26" i="2"/>
  <c r="G26" i="2"/>
  <c r="F16" i="2"/>
  <c r="G16" i="2"/>
  <c r="F80" i="2"/>
  <c r="G80" i="2"/>
  <c r="F56" i="2"/>
  <c r="G56" i="2"/>
  <c r="F38" i="2"/>
  <c r="G38" i="2"/>
  <c r="F7" i="2"/>
  <c r="G7" i="2"/>
  <c r="F19" i="2"/>
  <c r="G19" i="2"/>
  <c r="F45" i="2"/>
  <c r="G45" i="2"/>
  <c r="F12" i="2"/>
  <c r="G12" i="2"/>
  <c r="F3" i="2"/>
  <c r="G3" i="2"/>
  <c r="F8" i="2"/>
  <c r="G8" i="2"/>
  <c r="F25" i="2"/>
  <c r="G25" i="2"/>
  <c r="F33" i="2"/>
  <c r="G33" i="2"/>
  <c r="F82" i="2"/>
  <c r="G82" i="2"/>
  <c r="F72" i="2"/>
  <c r="G72" i="2"/>
  <c r="F73" i="2"/>
  <c r="G73" i="2"/>
  <c r="F90" i="2"/>
  <c r="G90" i="2"/>
  <c r="F97" i="2"/>
  <c r="G97" i="2"/>
  <c r="F96" i="2"/>
  <c r="G96" i="2"/>
  <c r="F67" i="2"/>
  <c r="G67" i="2"/>
  <c r="F66" i="2"/>
  <c r="G66" i="2"/>
  <c r="F43" i="2"/>
  <c r="G43" i="2"/>
  <c r="F50" i="2"/>
  <c r="G50" i="2"/>
  <c r="F71" i="2"/>
  <c r="H71" i="2" s="1"/>
  <c r="G71" i="2"/>
  <c r="F49" i="2"/>
  <c r="G49" i="2"/>
  <c r="F53" i="2"/>
  <c r="G53" i="2"/>
  <c r="F95" i="2"/>
  <c r="G95" i="2"/>
  <c r="F85" i="2"/>
  <c r="G85" i="2"/>
  <c r="F75" i="2"/>
  <c r="G75" i="2"/>
  <c r="F88" i="2"/>
  <c r="G88" i="2"/>
  <c r="F52" i="2"/>
  <c r="G52" i="2"/>
  <c r="F93" i="2"/>
  <c r="H93" i="2" s="1"/>
  <c r="G93" i="2"/>
  <c r="F54" i="2"/>
  <c r="G54" i="2"/>
  <c r="F30" i="2"/>
  <c r="G30" i="2"/>
  <c r="F58" i="2"/>
  <c r="G58" i="2"/>
  <c r="F70" i="2"/>
  <c r="G70" i="2"/>
  <c r="F11" i="2"/>
  <c r="G11" i="2"/>
  <c r="F63" i="2"/>
  <c r="G63" i="2"/>
  <c r="F23" i="2"/>
  <c r="G23" i="2"/>
  <c r="F37" i="2"/>
  <c r="G37" i="2"/>
  <c r="F74" i="2"/>
  <c r="G74" i="2"/>
  <c r="F60" i="2"/>
  <c r="G60" i="2"/>
  <c r="F61" i="2"/>
  <c r="G61" i="2"/>
  <c r="F35" i="2"/>
  <c r="G35" i="2"/>
  <c r="F29" i="2"/>
  <c r="G29" i="2"/>
  <c r="F77" i="2"/>
  <c r="G77" i="2"/>
  <c r="F44" i="2"/>
  <c r="G44" i="2"/>
  <c r="F89" i="2"/>
  <c r="G89" i="2"/>
  <c r="F83" i="2"/>
  <c r="G83" i="2"/>
  <c r="F48" i="2"/>
  <c r="G48" i="2"/>
  <c r="F13" i="2"/>
  <c r="G13" i="2"/>
  <c r="F5" i="2"/>
  <c r="G5" i="2"/>
  <c r="F32" i="2"/>
  <c r="G32" i="2"/>
  <c r="F65" i="2"/>
  <c r="G65" i="2"/>
  <c r="F47" i="2"/>
  <c r="G47" i="2"/>
  <c r="F59" i="2"/>
  <c r="G59" i="2"/>
  <c r="F87" i="2"/>
  <c r="G87" i="2"/>
  <c r="F100" i="2"/>
  <c r="G100" i="2"/>
  <c r="F79" i="2"/>
  <c r="G79" i="2"/>
  <c r="F68" i="2"/>
  <c r="G68" i="2"/>
  <c r="F21" i="2"/>
  <c r="G21" i="2"/>
  <c r="F46" i="2"/>
  <c r="G46" i="2"/>
  <c r="F64" i="2"/>
  <c r="G64" i="2"/>
  <c r="F20" i="2"/>
  <c r="G20" i="2"/>
  <c r="F78" i="2"/>
  <c r="G78" i="2"/>
  <c r="F69" i="2"/>
  <c r="G69" i="2"/>
  <c r="F91" i="2"/>
  <c r="G91" i="2"/>
  <c r="F101" i="2"/>
  <c r="G101" i="2"/>
  <c r="F94" i="2"/>
  <c r="G94" i="2"/>
  <c r="F98" i="2"/>
  <c r="G98" i="2"/>
  <c r="F40" i="2"/>
  <c r="G40" i="2"/>
  <c r="F18" i="2"/>
  <c r="G18" i="2"/>
  <c r="G5" i="1"/>
  <c r="F5" i="1"/>
  <c r="C5" i="1"/>
  <c r="D5" i="1"/>
  <c r="E5" i="1"/>
  <c r="G8" i="1"/>
  <c r="G7" i="1"/>
  <c r="G6" i="1"/>
  <c r="F8" i="1"/>
  <c r="F7" i="1"/>
  <c r="F6" i="1"/>
  <c r="E8" i="1"/>
  <c r="E7" i="1"/>
  <c r="E6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D8" i="1"/>
  <c r="D7" i="1"/>
  <c r="D6" i="1"/>
  <c r="C8" i="1"/>
  <c r="C7" i="1"/>
  <c r="C6" i="1"/>
  <c r="H40" i="2" l="1"/>
  <c r="H79" i="2"/>
  <c r="H13" i="2"/>
  <c r="H58" i="2"/>
  <c r="H50" i="2"/>
  <c r="H19" i="2"/>
  <c r="H27" i="2"/>
  <c r="H64" i="2"/>
  <c r="H44" i="2"/>
  <c r="H23" i="2"/>
  <c r="H52" i="2"/>
  <c r="H9" i="2"/>
  <c r="H91" i="2"/>
  <c r="H47" i="2"/>
  <c r="H61" i="2"/>
  <c r="H95" i="2"/>
  <c r="H72" i="2"/>
  <c r="H34" i="2"/>
  <c r="H41" i="2"/>
  <c r="H2" i="2"/>
  <c r="H17" i="2"/>
  <c r="H4" i="2"/>
  <c r="H30" i="2"/>
  <c r="H97" i="2"/>
  <c r="H14" i="2"/>
  <c r="H98" i="2"/>
  <c r="H3" i="2"/>
  <c r="H24" i="2"/>
  <c r="H59" i="2"/>
  <c r="H89" i="2"/>
  <c r="H37" i="2"/>
  <c r="H73" i="2"/>
  <c r="H45" i="2"/>
  <c r="H39" i="2"/>
  <c r="H92" i="2"/>
  <c r="H16" i="2"/>
  <c r="H69" i="2"/>
  <c r="H60" i="2"/>
  <c r="H53" i="2"/>
  <c r="H76" i="2"/>
  <c r="H51" i="2"/>
  <c r="H78" i="2"/>
  <c r="H32" i="2"/>
  <c r="H11" i="2"/>
  <c r="H75" i="2"/>
  <c r="H90" i="2"/>
  <c r="H26" i="2"/>
  <c r="H86" i="2"/>
  <c r="H15" i="2"/>
  <c r="H18" i="2"/>
  <c r="H68" i="2"/>
  <c r="H35" i="2"/>
  <c r="H85" i="2"/>
  <c r="H25" i="2"/>
  <c r="H96" i="2"/>
  <c r="H8" i="2"/>
  <c r="H80" i="2"/>
  <c r="H62" i="2"/>
  <c r="H84" i="2"/>
  <c r="H6" i="2"/>
  <c r="H21" i="2"/>
  <c r="H83" i="2"/>
  <c r="H54" i="2"/>
  <c r="H66" i="2"/>
  <c r="H12" i="2"/>
  <c r="H31" i="2"/>
  <c r="H28" i="2"/>
  <c r="H55" i="2"/>
  <c r="H20" i="2"/>
  <c r="H56" i="2"/>
  <c r="H94" i="2"/>
  <c r="H87" i="2"/>
  <c r="H29" i="2"/>
  <c r="H74" i="2"/>
  <c r="H49" i="2"/>
  <c r="H33" i="2"/>
  <c r="H38" i="2"/>
  <c r="H36" i="2"/>
  <c r="H42" i="2"/>
  <c r="H101" i="2"/>
  <c r="H5" i="2"/>
  <c r="H70" i="2"/>
  <c r="H67" i="2"/>
  <c r="H46" i="2"/>
  <c r="H100" i="2"/>
  <c r="H65" i="2"/>
  <c r="H48" i="2"/>
  <c r="H77" i="2"/>
  <c r="H63" i="2"/>
  <c r="H88" i="2"/>
  <c r="H43" i="2"/>
  <c r="H82" i="2"/>
  <c r="H7" i="2"/>
  <c r="H10" i="2"/>
  <c r="H99" i="2"/>
  <c r="H81" i="2"/>
</calcChain>
</file>

<file path=xl/sharedStrings.xml><?xml version="1.0" encoding="utf-8"?>
<sst xmlns="http://schemas.openxmlformats.org/spreadsheetml/2006/main" count="35" uniqueCount="34">
  <si>
    <t>Sum</t>
  </si>
  <si>
    <t>Max. Value</t>
  </si>
  <si>
    <t>Min. Value</t>
  </si>
  <si>
    <t>Average</t>
  </si>
  <si>
    <t>Standard Dev.</t>
  </si>
  <si>
    <t>Variance</t>
  </si>
  <si>
    <t>Assignment / 10</t>
  </si>
  <si>
    <t>Attendance / 5</t>
  </si>
  <si>
    <t>Student ID</t>
  </si>
  <si>
    <t>Project / 10</t>
  </si>
  <si>
    <t>Area</t>
  </si>
  <si>
    <t>Test</t>
  </si>
  <si>
    <t>Assignment</t>
  </si>
  <si>
    <t>Attendance</t>
  </si>
  <si>
    <t>Project</t>
  </si>
  <si>
    <t>score / 100</t>
  </si>
  <si>
    <t>คะแนน [100]</t>
  </si>
  <si>
    <t>การบ้าน [10]</t>
  </si>
  <si>
    <t>การเข้าเรียน [5]</t>
  </si>
  <si>
    <t>โปรเจค [10]</t>
  </si>
  <si>
    <t>total</t>
  </si>
  <si>
    <t>คะแนนเก็บ [25]</t>
  </si>
  <si>
    <t>สอบ/75</t>
  </si>
  <si>
    <t>คะแนนรวม</t>
  </si>
  <si>
    <t>กลุ่มคะแนนเก็บ</t>
  </si>
  <si>
    <t>Name</t>
  </si>
  <si>
    <t>0 - 5</t>
  </si>
  <si>
    <t>6 - 10</t>
  </si>
  <si>
    <t>11 - 15</t>
  </si>
  <si>
    <t>16 - 20</t>
  </si>
  <si>
    <t>21 - 25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</si>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</sst>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8"/>
      <color theme="1"/>
      <name val="Angsana New"/>
      <family val="1"/>
    </font>
    <font>
      <b/>
      <sz val="22"/>
      <color theme="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1" xfId="0" applyFont="1" applyFill="1" applyBorder="1"/>
    <xf numFmtId="0" fontId="0" fillId="4" borderId="1" xfId="0" applyFill="1" applyBorder="1"/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ปกติ" xfId="0" builtinId="0"/>
  </cellStyles>
  <dxfs count="6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</a:t>
            </a:r>
            <a:r>
              <a:rPr lang="en-US" baseline="0"/>
              <a:t>record of Mathematics subject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7.7712773270782007E-2"/>
          <c:y val="5.5656500062149991E-2"/>
          <c:w val="0.92228722672921803"/>
          <c:h val="0.72063507367491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Test</c:v>
                </c:pt>
                <c:pt idx="1">
                  <c:v>Assignment</c:v>
                </c:pt>
                <c:pt idx="2">
                  <c:v>Attendance</c:v>
                </c:pt>
                <c:pt idx="3">
                  <c:v>Project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3457-43FC-8C93-1F5DDB035A79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Max.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Test</c:v>
                </c:pt>
                <c:pt idx="1">
                  <c:v>Assignment</c:v>
                </c:pt>
                <c:pt idx="2">
                  <c:v>Attendance</c:v>
                </c:pt>
                <c:pt idx="3">
                  <c:v>Project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4"/>
                <c:pt idx="0">
                  <c:v>100</c:v>
                </c:pt>
                <c:pt idx="1">
                  <c:v>9</c:v>
                </c:pt>
                <c:pt idx="2">
                  <c:v>5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7-43FC-8C93-1F5DDB035A79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Min.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Test</c:v>
                </c:pt>
                <c:pt idx="1">
                  <c:v>Assignment</c:v>
                </c:pt>
                <c:pt idx="2">
                  <c:v>Attendance</c:v>
                </c:pt>
                <c:pt idx="3">
                  <c:v>Project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7-43FC-8C93-1F5DDB035A79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Test</c:v>
                </c:pt>
                <c:pt idx="1">
                  <c:v>Assignment</c:v>
                </c:pt>
                <c:pt idx="2">
                  <c:v>Attendance</c:v>
                </c:pt>
                <c:pt idx="3">
                  <c:v>Project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4"/>
                <c:pt idx="0">
                  <c:v>46.9</c:v>
                </c:pt>
                <c:pt idx="1">
                  <c:v>5.33</c:v>
                </c:pt>
                <c:pt idx="2">
                  <c:v>3.1</c:v>
                </c:pt>
                <c:pt idx="3">
                  <c:v>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57-43FC-8C93-1F5DDB035A79}"/>
            </c:ext>
          </c:extLst>
        </c:ser>
        <c:ser>
          <c:idx val="4"/>
          <c:order val="4"/>
          <c:tx>
            <c:strRef>
              <c:f>Sheet1!$F$4</c:f>
              <c:strCache>
                <c:ptCount val="1"/>
                <c:pt idx="0">
                  <c:v>Standard Dev.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Test</c:v>
                </c:pt>
                <c:pt idx="1">
                  <c:v>Assignment</c:v>
                </c:pt>
                <c:pt idx="2">
                  <c:v>Attendance</c:v>
                </c:pt>
                <c:pt idx="3">
                  <c:v>Project</c:v>
                </c:pt>
              </c:strCache>
            </c:strRef>
          </c:cat>
          <c:val>
            <c:numRef>
              <c:f>Sheet1!$F$5:$F$8</c:f>
              <c:numCache>
                <c:formatCode>General</c:formatCode>
                <c:ptCount val="4"/>
                <c:pt idx="0">
                  <c:v>25.985572920372565</c:v>
                </c:pt>
                <c:pt idx="1">
                  <c:v>2.3197198106667969</c:v>
                </c:pt>
                <c:pt idx="2">
                  <c:v>1.4933184523068079</c:v>
                </c:pt>
                <c:pt idx="3">
                  <c:v>2.2202702538204666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7-43FC-8C93-1F5DDB035A79}"/>
            </c:ext>
          </c:extLst>
        </c:ser>
        <c:ser>
          <c:idx val="5"/>
          <c:order val="5"/>
          <c:tx>
            <c:strRef>
              <c:f>Sheet1!$G$4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Test</c:v>
                </c:pt>
                <c:pt idx="1">
                  <c:v>Assignment</c:v>
                </c:pt>
                <c:pt idx="2">
                  <c:v>Attendance</c:v>
                </c:pt>
                <c:pt idx="3">
                  <c:v>Project</c:v>
                </c:pt>
              </c:strCache>
            </c:strRef>
          </c:cat>
          <c:val>
            <c:numRef>
              <c:f>Sheet1!$G$5:$G$8</c:f>
              <c:numCache>
                <c:formatCode>General</c:formatCode>
                <c:ptCount val="4"/>
                <c:pt idx="0">
                  <c:v>682.07070707070704</c:v>
                </c:pt>
                <c:pt idx="1">
                  <c:v>5.4343434343434343</c:v>
                </c:pt>
                <c:pt idx="2">
                  <c:v>2.23</c:v>
                </c:pt>
                <c:pt idx="3">
                  <c:v>4.9295999999999998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57-43FC-8C93-1F5DDB035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729632"/>
        <c:axId val="235722976"/>
      </c:barChart>
      <c:catAx>
        <c:axId val="23572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5722976"/>
        <c:crosses val="autoZero"/>
        <c:auto val="1"/>
        <c:lblAlgn val="ctr"/>
        <c:lblOffset val="100"/>
        <c:noMultiLvlLbl val="0"/>
      </c:catAx>
      <c:valAx>
        <c:axId val="23572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57296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Test scores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Test scores</a:t>
          </a:r>
        </a:p>
      </cx:txPr>
    </cx:title>
    <cx:plotArea>
      <cx:plotAreaRegion>
        <cx:series layoutId="clusteredColumn" uniqueId="{3CE4726D-FA9C-446B-BB8F-31EF2E0D33C9}">
          <cx:tx>
            <cx:txData>
              <cx:f>_xlchart.v1.5</cx:f>
              <cx:v>score / 100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Score range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Score range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No. of Students</a:t>
                </a:r>
              </a:p>
              <a:p>
                <a:pPr algn="ctr">
                  <a:defRPr/>
                </a:pPr>
                <a:endParaRPr lang="en-US"/>
              </a:p>
            </cx:rich>
          </cx:tx>
        </cx:title>
        <cx:majorGridlines/>
        <cx:tickLabels/>
      </cx:axis>
    </cx:plotArea>
    <cx:legend pos="t" align="ctr" overlay="0"/>
  </cx:chart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Assignment score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Assignment score</a:t>
          </a:r>
        </a:p>
      </cx:txPr>
    </cx:title>
    <cx:plotArea>
      <cx:plotAreaRegion>
        <cx:series layoutId="clusteredColumn" uniqueId="{5CFD1F93-6DA6-4895-B858-86D6BED49A10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Range of assignment scores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Range of assignment scores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No. of Students</a:t>
                </a:r>
              </a:p>
              <a:p>
                <a:pPr algn="ctr">
                  <a:defRPr/>
                </a:pPr>
                <a:endParaRPr lang="en-US"/>
              </a:p>
            </cx:rich>
          </cx:tx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Attendance score</a:t>
            </a:r>
          </a:p>
          <a:p>
            <a:pPr algn="ctr">
              <a:defRPr/>
            </a:pPr>
            <a:endParaRPr lang="en-US"/>
          </a:p>
        </cx:rich>
      </cx:tx>
    </cx:title>
    <cx:plotArea>
      <cx:plotAreaRegion>
        <cx:series layoutId="clusteredColumn" uniqueId="{5EA71D4C-6476-4DD0-8D3D-ABEEFB90254C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Range of score</a:t>
                </a:r>
              </a:p>
              <a:p>
                <a:pPr algn="ctr">
                  <a:defRPr/>
                </a:pPr>
                <a:endParaRPr lang="en-US"/>
              </a:p>
            </cx:rich>
          </cx:tx>
        </cx:title>
        <cx:tickLabels/>
      </cx:axis>
      <cx:axis id="1">
        <cx:valScaling/>
        <cx:title>
          <cx:tx>
            <cx:txData>
              <cx:v>No. of Students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No. of Students</a:t>
              </a:r>
            </a:p>
          </cx:txPr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Project score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Project score</a:t>
          </a:r>
        </a:p>
      </cx:txPr>
    </cx:title>
    <cx:plotArea>
      <cx:plotAreaRegion>
        <cx:series layoutId="clusteredColumn" uniqueId="{204BD796-6CC8-46ED-9084-018DA09913A3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Range of scores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Range of scores</a:t>
              </a:r>
            </a:p>
          </cx:txPr>
        </cx:title>
        <cx:tickLabels/>
      </cx:axis>
      <cx:axis id="1">
        <cx:valScaling/>
        <cx:title>
          <cx:tx>
            <cx:txData>
              <cx:v>No. of students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No. of students</a:t>
              </a:r>
            </a:p>
          </cx:txPr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openxmlformats.org/officeDocument/2006/relationships/chart" Target="../charts/chart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154781</xdr:colOff>
      <xdr:row>13</xdr:row>
      <xdr:rowOff>23812</xdr:rowOff>
    </xdr:from>
    <xdr:to>
      <xdr:col>18</xdr:col>
      <xdr:colOff>511969</xdr:colOff>
      <xdr:row>36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55931" y="2376487"/>
              <a:ext cx="8824913" cy="4281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7</xdr:col>
      <xdr:colOff>204108</xdr:colOff>
      <xdr:row>38</xdr:row>
      <xdr:rowOff>163287</xdr:rowOff>
    </xdr:from>
    <xdr:to>
      <xdr:col>18</xdr:col>
      <xdr:colOff>571500</xdr:colOff>
      <xdr:row>65</xdr:row>
      <xdr:rowOff>40821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05258" y="7040337"/>
              <a:ext cx="8835117" cy="47638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20</xdr:col>
      <xdr:colOff>251112</xdr:colOff>
      <xdr:row>17</xdr:row>
      <xdr:rowOff>100446</xdr:rowOff>
    </xdr:from>
    <xdr:to>
      <xdr:col>31</xdr:col>
      <xdr:colOff>242454</xdr:colOff>
      <xdr:row>43</xdr:row>
      <xdr:rowOff>155864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91587" y="3177021"/>
              <a:ext cx="7535142" cy="47607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22</xdr:col>
      <xdr:colOff>33130</xdr:colOff>
      <xdr:row>45</xdr:row>
      <xdr:rowOff>107674</xdr:rowOff>
    </xdr:from>
    <xdr:to>
      <xdr:col>31</xdr:col>
      <xdr:colOff>8658</xdr:colOff>
      <xdr:row>63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45205" y="8251549"/>
              <a:ext cx="6147728" cy="3187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7</xdr:col>
      <xdr:colOff>629019</xdr:colOff>
      <xdr:row>67</xdr:row>
      <xdr:rowOff>178377</xdr:rowOff>
    </xdr:from>
    <xdr:to>
      <xdr:col>27</xdr:col>
      <xdr:colOff>190500</xdr:colOff>
      <xdr:row>112</xdr:row>
      <xdr:rowOff>69273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1:E111" totalsRowShown="0" headerRowDxfId="5">
  <autoFilter ref="A11:E111" xr:uid="{00000000-0009-0000-0100-000001000000}"/>
  <tableColumns count="5">
    <tableColumn id="1" xr3:uid="{00000000-0010-0000-0000-000001000000}" name="Student ID"/>
    <tableColumn id="2" xr3:uid="{00000000-0010-0000-0000-000002000000}" name="score / 100" dataDxfId="4"/>
    <tableColumn id="3" xr3:uid="{00000000-0010-0000-0000-000003000000}" name="Assignment / 10" dataDxfId="3"/>
    <tableColumn id="4" xr3:uid="{00000000-0010-0000-0000-000004000000}" name="Attendance / 5" dataDxfId="2"/>
    <tableColumn id="5" xr3:uid="{00000000-0010-0000-0000-000005000000}" name="Project / 10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4:G9" totalsRowShown="0">
  <autoFilter ref="B4:G9" xr:uid="{00000000-0009-0000-0100-000002000000}"/>
  <tableColumns count="6">
    <tableColumn id="1" xr3:uid="{00000000-0010-0000-0100-000001000000}" name="Sum" dataDxfId="0">
      <calculatedColumnFormula>SUM(B12:B111)</calculatedColumnFormula>
    </tableColumn>
    <tableColumn id="2" xr3:uid="{00000000-0010-0000-0100-000002000000}" name="Max. Value">
      <calculatedColumnFormula>MAX(B12:B111)</calculatedColumnFormula>
    </tableColumn>
    <tableColumn id="3" xr3:uid="{00000000-0010-0000-0100-000003000000}" name="Min. Value">
      <calculatedColumnFormula>MIN(B12:B111)</calculatedColumnFormula>
    </tableColumn>
    <tableColumn id="4" xr3:uid="{00000000-0010-0000-0100-000004000000}" name="Average">
      <calculatedColumnFormula>AVERAGE(B12:B111)</calculatedColumnFormula>
    </tableColumn>
    <tableColumn id="5" xr3:uid="{00000000-0010-0000-0100-000005000000}" name="Standard Dev.">
      <calculatedColumnFormula>STDEV(B12:B111)</calculatedColumnFormula>
    </tableColumn>
    <tableColumn id="6" xr3:uid="{00000000-0010-0000-0100-000006000000}" name="Variance">
      <calculatedColumnFormula>_xlfn.VAR.P(B12:B111)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11"/>
  <sheetViews>
    <sheetView topLeftCell="B11" zoomScaleNormal="100" workbookViewId="0">
      <selection activeCell="S11" sqref="S11"/>
    </sheetView>
  </sheetViews>
  <sheetFormatPr defaultRowHeight="14.25" x14ac:dyDescent="0.2"/>
  <cols>
    <col min="1" max="1" width="14.5" customWidth="1"/>
    <col min="2" max="2" width="15" customWidth="1"/>
    <col min="3" max="3" width="19.125" customWidth="1"/>
    <col min="4" max="4" width="18.875" customWidth="1"/>
    <col min="5" max="5" width="13.875" customWidth="1"/>
    <col min="6" max="6" width="18.875" customWidth="1"/>
    <col min="7" max="7" width="20.5" customWidth="1"/>
    <col min="8" max="8" width="16.5" customWidth="1"/>
    <col min="9" max="9" width="13.625" customWidth="1"/>
  </cols>
  <sheetData>
    <row r="4" spans="1:7" x14ac:dyDescent="0.2">
      <c r="A4" s="4" t="s">
        <v>10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">
      <c r="A5" s="5" t="s">
        <v>11</v>
      </c>
      <c r="C5">
        <f>MAX(B12:B111)</f>
        <v>100</v>
      </c>
      <c r="D5">
        <f>MIN(B12:B111)</f>
        <v>0</v>
      </c>
      <c r="E5">
        <f>AVERAGE(B12:B111)</f>
        <v>46.9</v>
      </c>
      <c r="F5">
        <f>_xlfn.STDEV.P(Table1[score / 100])</f>
        <v>25.985572920372565</v>
      </c>
      <c r="G5">
        <f>VAR(Table1[score / 100])</f>
        <v>682.07070707070704</v>
      </c>
    </row>
    <row r="6" spans="1:7" x14ac:dyDescent="0.2">
      <c r="A6" s="5" t="s">
        <v>12</v>
      </c>
      <c r="C6">
        <f>MAX(Table1[Assignment / 10])</f>
        <v>9</v>
      </c>
      <c r="D6">
        <f>MIN(Table1[Assignment / 10])</f>
        <v>1</v>
      </c>
      <c r="E6">
        <f>AVERAGE(Table1[Assignment / 10])</f>
        <v>5.33</v>
      </c>
      <c r="F6">
        <f>_xlfn.STDEV.P(Table1[Assignment / 10])</f>
        <v>2.3197198106667969</v>
      </c>
      <c r="G6">
        <f>_xlfn.VAR.P(C12:C110)</f>
        <v>5.4343434343434343</v>
      </c>
    </row>
    <row r="7" spans="1:7" x14ac:dyDescent="0.2">
      <c r="A7" s="5" t="s">
        <v>13</v>
      </c>
      <c r="C7">
        <f>MAX(Table1[Attendance / 5])</f>
        <v>5</v>
      </c>
      <c r="D7">
        <f>MIN(Table1[Attendance / 5])</f>
        <v>0</v>
      </c>
      <c r="E7">
        <f>AVERAGE(Table1[Attendance / 5])</f>
        <v>3.1</v>
      </c>
      <c r="F7">
        <f>_xlfn.STDEV.P(Table1[Attendance / 5])</f>
        <v>1.4933184523068079</v>
      </c>
      <c r="G7">
        <f>_xlfn.VAR.P(Table1[Attendance / 5])</f>
        <v>2.23</v>
      </c>
    </row>
    <row r="8" spans="1:7" x14ac:dyDescent="0.2">
      <c r="A8" s="5" t="s">
        <v>14</v>
      </c>
      <c r="C8">
        <f>MAX(Table1[Project / 10])</f>
        <v>10</v>
      </c>
      <c r="D8">
        <f>MIN(Table1[Project / 10])</f>
        <v>1</v>
      </c>
      <c r="E8">
        <f>AVERAGE(Table1[Project / 10])</f>
        <v>6.48</v>
      </c>
      <c r="F8">
        <f>_xlfn.STDEV.P(Table1[Project / 10])</f>
        <v>2.2202702538204666</v>
      </c>
      <c r="G8">
        <f>_xlfn.VAR.P(Table1[Project / 10])</f>
        <v>4.9295999999999998</v>
      </c>
    </row>
    <row r="9" spans="1:7" x14ac:dyDescent="0.2">
      <c r="A9" s="5" t="s">
        <v>20</v>
      </c>
    </row>
    <row r="11" spans="1:7" x14ac:dyDescent="0.2">
      <c r="A11" s="2" t="s">
        <v>8</v>
      </c>
      <c r="B11" s="3" t="s">
        <v>15</v>
      </c>
      <c r="C11" s="2" t="s">
        <v>6</v>
      </c>
      <c r="D11" s="2" t="s">
        <v>7</v>
      </c>
      <c r="E11" s="2" t="s">
        <v>9</v>
      </c>
    </row>
    <row r="12" spans="1:7" x14ac:dyDescent="0.2">
      <c r="A12" s="1">
        <v>1821610100</v>
      </c>
      <c r="B12" s="1">
        <v>27</v>
      </c>
      <c r="C12" s="1">
        <v>1</v>
      </c>
      <c r="D12" s="1">
        <v>2</v>
      </c>
      <c r="E12" s="1">
        <v>8</v>
      </c>
    </row>
    <row r="13" spans="1:7" x14ac:dyDescent="0.2">
      <c r="A13" s="1">
        <f>SUM(A12+1)</f>
        <v>1821610101</v>
      </c>
      <c r="B13" s="1">
        <v>99</v>
      </c>
      <c r="C13" s="1">
        <v>2</v>
      </c>
      <c r="D13" s="1">
        <v>4</v>
      </c>
      <c r="E13" s="1">
        <v>4</v>
      </c>
    </row>
    <row r="14" spans="1:7" x14ac:dyDescent="0.2">
      <c r="A14" s="1">
        <f t="shared" ref="A14:A77" si="0">SUM(A13+1)</f>
        <v>1821610102</v>
      </c>
      <c r="B14" s="1">
        <v>97</v>
      </c>
      <c r="C14" s="1">
        <v>6</v>
      </c>
      <c r="D14" s="1">
        <v>3</v>
      </c>
      <c r="E14" s="1">
        <v>2</v>
      </c>
    </row>
    <row r="15" spans="1:7" x14ac:dyDescent="0.2">
      <c r="A15" s="1">
        <f t="shared" si="0"/>
        <v>1821610103</v>
      </c>
      <c r="B15" s="1">
        <v>100</v>
      </c>
      <c r="C15" s="1">
        <v>4</v>
      </c>
      <c r="D15" s="1">
        <v>1</v>
      </c>
      <c r="E15" s="1">
        <v>4</v>
      </c>
    </row>
    <row r="16" spans="1:7" x14ac:dyDescent="0.2">
      <c r="A16" s="1">
        <f t="shared" si="0"/>
        <v>1821610104</v>
      </c>
      <c r="B16" s="1">
        <v>98</v>
      </c>
      <c r="C16" s="1">
        <v>8</v>
      </c>
      <c r="D16" s="1">
        <v>4</v>
      </c>
      <c r="E16" s="1">
        <v>7</v>
      </c>
    </row>
    <row r="17" spans="1:5" x14ac:dyDescent="0.2">
      <c r="A17" s="1">
        <f t="shared" si="0"/>
        <v>1821610105</v>
      </c>
      <c r="B17" s="1">
        <v>65</v>
      </c>
      <c r="C17" s="1">
        <v>4</v>
      </c>
      <c r="D17" s="1">
        <v>2</v>
      </c>
      <c r="E17" s="1">
        <v>9</v>
      </c>
    </row>
    <row r="18" spans="1:5" x14ac:dyDescent="0.2">
      <c r="A18" s="1">
        <f t="shared" si="0"/>
        <v>1821610106</v>
      </c>
      <c r="B18" s="1">
        <v>45</v>
      </c>
      <c r="C18" s="1">
        <v>6</v>
      </c>
      <c r="D18" s="1">
        <v>3</v>
      </c>
      <c r="E18" s="1">
        <v>6</v>
      </c>
    </row>
    <row r="19" spans="1:5" x14ac:dyDescent="0.2">
      <c r="A19" s="1">
        <f t="shared" si="0"/>
        <v>1821610107</v>
      </c>
      <c r="B19" s="1">
        <v>54</v>
      </c>
      <c r="C19" s="1">
        <v>5</v>
      </c>
      <c r="D19" s="1">
        <v>1</v>
      </c>
      <c r="E19" s="1">
        <v>3</v>
      </c>
    </row>
    <row r="20" spans="1:5" x14ac:dyDescent="0.2">
      <c r="A20" s="1">
        <f t="shared" si="0"/>
        <v>1821610108</v>
      </c>
      <c r="B20" s="1">
        <v>76</v>
      </c>
      <c r="C20" s="1">
        <v>1</v>
      </c>
      <c r="D20" s="1">
        <v>2</v>
      </c>
      <c r="E20" s="1">
        <v>5</v>
      </c>
    </row>
    <row r="21" spans="1:5" x14ac:dyDescent="0.2">
      <c r="A21" s="1">
        <f t="shared" si="0"/>
        <v>1821610109</v>
      </c>
      <c r="B21" s="1">
        <v>23</v>
      </c>
      <c r="C21" s="1">
        <v>7</v>
      </c>
      <c r="D21" s="1">
        <v>4</v>
      </c>
      <c r="E21" s="1">
        <v>4</v>
      </c>
    </row>
    <row r="22" spans="1:5" x14ac:dyDescent="0.2">
      <c r="A22" s="1">
        <f t="shared" si="0"/>
        <v>1821610110</v>
      </c>
      <c r="B22" s="1">
        <v>16</v>
      </c>
      <c r="C22" s="1">
        <v>9</v>
      </c>
      <c r="D22" s="1">
        <v>1</v>
      </c>
      <c r="E22" s="1">
        <v>8</v>
      </c>
    </row>
    <row r="23" spans="1:5" x14ac:dyDescent="0.2">
      <c r="A23" s="1">
        <f t="shared" si="0"/>
        <v>1821610111</v>
      </c>
      <c r="B23" s="1">
        <v>3</v>
      </c>
      <c r="C23" s="1">
        <v>6</v>
      </c>
      <c r="D23" s="1">
        <v>2</v>
      </c>
      <c r="E23" s="1">
        <v>7</v>
      </c>
    </row>
    <row r="24" spans="1:5" x14ac:dyDescent="0.2">
      <c r="A24" s="1">
        <f t="shared" si="0"/>
        <v>1821610112</v>
      </c>
      <c r="B24" s="1">
        <v>87</v>
      </c>
      <c r="C24" s="1">
        <v>3</v>
      </c>
      <c r="D24" s="1">
        <v>3</v>
      </c>
      <c r="E24" s="1">
        <v>8</v>
      </c>
    </row>
    <row r="25" spans="1:5" x14ac:dyDescent="0.2">
      <c r="A25" s="1">
        <f t="shared" si="0"/>
        <v>1821610113</v>
      </c>
      <c r="B25" s="1">
        <v>32</v>
      </c>
      <c r="C25" s="1">
        <v>4</v>
      </c>
      <c r="D25" s="1">
        <v>2</v>
      </c>
      <c r="E25" s="1">
        <v>7</v>
      </c>
    </row>
    <row r="26" spans="1:5" x14ac:dyDescent="0.2">
      <c r="A26" s="1">
        <f t="shared" si="0"/>
        <v>1821610114</v>
      </c>
      <c r="B26" s="1">
        <v>76</v>
      </c>
      <c r="C26" s="1">
        <v>5</v>
      </c>
      <c r="D26" s="1">
        <v>1</v>
      </c>
      <c r="E26" s="1">
        <v>4</v>
      </c>
    </row>
    <row r="27" spans="1:5" x14ac:dyDescent="0.2">
      <c r="A27" s="1">
        <f t="shared" si="0"/>
        <v>1821610115</v>
      </c>
      <c r="B27" s="1">
        <v>38</v>
      </c>
      <c r="C27" s="1">
        <v>7</v>
      </c>
      <c r="D27" s="1">
        <v>4</v>
      </c>
      <c r="E27" s="1">
        <v>7</v>
      </c>
    </row>
    <row r="28" spans="1:5" x14ac:dyDescent="0.2">
      <c r="A28" s="1">
        <f t="shared" si="0"/>
        <v>1821610116</v>
      </c>
      <c r="B28" s="1">
        <v>23</v>
      </c>
      <c r="C28" s="1">
        <v>1</v>
      </c>
      <c r="D28" s="1">
        <v>2</v>
      </c>
      <c r="E28" s="1">
        <v>8</v>
      </c>
    </row>
    <row r="29" spans="1:5" x14ac:dyDescent="0.2">
      <c r="A29" s="1">
        <f t="shared" si="0"/>
        <v>1821610117</v>
      </c>
      <c r="B29" s="1">
        <v>53</v>
      </c>
      <c r="C29" s="1">
        <v>5</v>
      </c>
      <c r="D29" s="1">
        <v>4</v>
      </c>
      <c r="E29" s="1">
        <v>9</v>
      </c>
    </row>
    <row r="30" spans="1:5" x14ac:dyDescent="0.2">
      <c r="A30" s="1">
        <f t="shared" si="0"/>
        <v>1821610118</v>
      </c>
      <c r="B30" s="1">
        <v>65</v>
      </c>
      <c r="C30" s="1">
        <v>8</v>
      </c>
      <c r="D30" s="1">
        <v>5</v>
      </c>
      <c r="E30" s="1">
        <v>8</v>
      </c>
    </row>
    <row r="31" spans="1:5" x14ac:dyDescent="0.2">
      <c r="A31" s="1">
        <f t="shared" si="0"/>
        <v>1821610119</v>
      </c>
      <c r="B31" s="1">
        <v>23</v>
      </c>
      <c r="C31" s="1">
        <v>4</v>
      </c>
      <c r="D31" s="1">
        <v>2</v>
      </c>
      <c r="E31" s="1">
        <v>7</v>
      </c>
    </row>
    <row r="32" spans="1:5" x14ac:dyDescent="0.2">
      <c r="A32" s="1">
        <f t="shared" si="0"/>
        <v>1821610120</v>
      </c>
      <c r="B32" s="1">
        <v>65</v>
      </c>
      <c r="C32" s="1">
        <v>2</v>
      </c>
      <c r="D32" s="1">
        <v>1</v>
      </c>
      <c r="E32" s="1">
        <v>8</v>
      </c>
    </row>
    <row r="33" spans="1:5" x14ac:dyDescent="0.2">
      <c r="A33" s="1">
        <f t="shared" si="0"/>
        <v>1821610121</v>
      </c>
      <c r="B33" s="1">
        <v>23</v>
      </c>
      <c r="C33" s="1">
        <v>6</v>
      </c>
      <c r="D33" s="1">
        <v>3</v>
      </c>
      <c r="E33" s="1">
        <v>5</v>
      </c>
    </row>
    <row r="34" spans="1:5" x14ac:dyDescent="0.2">
      <c r="A34" s="1">
        <f t="shared" si="0"/>
        <v>1821610122</v>
      </c>
      <c r="B34" s="1">
        <v>73</v>
      </c>
      <c r="C34" s="1">
        <v>8</v>
      </c>
      <c r="D34" s="1">
        <v>5</v>
      </c>
      <c r="E34" s="1">
        <v>4</v>
      </c>
    </row>
    <row r="35" spans="1:5" x14ac:dyDescent="0.2">
      <c r="A35" s="1">
        <f t="shared" si="0"/>
        <v>1821610123</v>
      </c>
      <c r="B35" s="1">
        <v>52</v>
      </c>
      <c r="C35" s="1">
        <v>7</v>
      </c>
      <c r="D35" s="1">
        <v>4</v>
      </c>
      <c r="E35" s="1">
        <v>5</v>
      </c>
    </row>
    <row r="36" spans="1:5" x14ac:dyDescent="0.2">
      <c r="A36" s="1">
        <f t="shared" si="0"/>
        <v>1821610124</v>
      </c>
      <c r="B36" s="1">
        <v>76</v>
      </c>
      <c r="C36" s="1">
        <v>4</v>
      </c>
      <c r="D36" s="1">
        <v>1</v>
      </c>
      <c r="E36" s="1">
        <v>1</v>
      </c>
    </row>
    <row r="37" spans="1:5" x14ac:dyDescent="0.2">
      <c r="A37" s="1">
        <f t="shared" si="0"/>
        <v>1821610125</v>
      </c>
      <c r="B37" s="1">
        <v>43</v>
      </c>
      <c r="C37" s="1">
        <v>3</v>
      </c>
      <c r="D37" s="1">
        <v>2</v>
      </c>
      <c r="E37" s="1">
        <v>8</v>
      </c>
    </row>
    <row r="38" spans="1:5" x14ac:dyDescent="0.2">
      <c r="A38" s="1">
        <f t="shared" si="0"/>
        <v>1821610126</v>
      </c>
      <c r="B38" s="1">
        <v>8</v>
      </c>
      <c r="C38" s="1">
        <v>6</v>
      </c>
      <c r="D38" s="1">
        <v>3</v>
      </c>
      <c r="E38" s="1">
        <v>1</v>
      </c>
    </row>
    <row r="39" spans="1:5" x14ac:dyDescent="0.2">
      <c r="A39" s="1">
        <f t="shared" si="0"/>
        <v>1821610127</v>
      </c>
      <c r="B39" s="1">
        <v>1</v>
      </c>
      <c r="C39" s="1">
        <v>9</v>
      </c>
      <c r="D39" s="1">
        <v>1</v>
      </c>
      <c r="E39" s="1">
        <v>4</v>
      </c>
    </row>
    <row r="40" spans="1:5" x14ac:dyDescent="0.2">
      <c r="A40" s="1">
        <f t="shared" si="0"/>
        <v>1821610128</v>
      </c>
      <c r="B40" s="1">
        <v>0</v>
      </c>
      <c r="C40" s="1">
        <v>4</v>
      </c>
      <c r="D40" s="1">
        <v>4</v>
      </c>
      <c r="E40" s="1">
        <v>8</v>
      </c>
    </row>
    <row r="41" spans="1:5" x14ac:dyDescent="0.2">
      <c r="A41" s="1">
        <f t="shared" si="0"/>
        <v>1821610129</v>
      </c>
      <c r="B41" s="1">
        <v>1</v>
      </c>
      <c r="C41" s="1">
        <v>1</v>
      </c>
      <c r="D41" s="1">
        <v>5</v>
      </c>
      <c r="E41" s="1">
        <v>7</v>
      </c>
    </row>
    <row r="42" spans="1:5" x14ac:dyDescent="0.2">
      <c r="A42" s="1">
        <f t="shared" si="0"/>
        <v>1821610130</v>
      </c>
      <c r="B42" s="1">
        <v>6</v>
      </c>
      <c r="C42" s="1">
        <v>2</v>
      </c>
      <c r="D42" s="1">
        <v>2</v>
      </c>
      <c r="E42" s="1">
        <v>7</v>
      </c>
    </row>
    <row r="43" spans="1:5" x14ac:dyDescent="0.2">
      <c r="A43" s="1">
        <f t="shared" si="0"/>
        <v>1821610131</v>
      </c>
      <c r="B43" s="1">
        <v>10</v>
      </c>
      <c r="C43" s="1">
        <v>8</v>
      </c>
      <c r="D43" s="1">
        <v>1</v>
      </c>
      <c r="E43" s="1">
        <v>9</v>
      </c>
    </row>
    <row r="44" spans="1:5" x14ac:dyDescent="0.2">
      <c r="A44" s="1">
        <f t="shared" si="0"/>
        <v>1821610132</v>
      </c>
      <c r="B44" s="1">
        <v>100</v>
      </c>
      <c r="C44" s="1">
        <v>6</v>
      </c>
      <c r="D44" s="1">
        <v>3</v>
      </c>
      <c r="E44" s="1">
        <v>6</v>
      </c>
    </row>
    <row r="45" spans="1:5" x14ac:dyDescent="0.2">
      <c r="A45" s="1">
        <f t="shared" si="0"/>
        <v>1821610133</v>
      </c>
      <c r="B45" s="1">
        <v>43</v>
      </c>
      <c r="C45" s="1">
        <v>2</v>
      </c>
      <c r="D45" s="1">
        <v>4</v>
      </c>
      <c r="E45" s="1">
        <v>8</v>
      </c>
    </row>
    <row r="46" spans="1:5" x14ac:dyDescent="0.2">
      <c r="A46" s="1">
        <f t="shared" si="0"/>
        <v>1821610134</v>
      </c>
      <c r="B46" s="1">
        <v>79</v>
      </c>
      <c r="C46" s="1">
        <v>1</v>
      </c>
      <c r="D46" s="1">
        <v>1</v>
      </c>
      <c r="E46" s="1">
        <v>7</v>
      </c>
    </row>
    <row r="47" spans="1:5" x14ac:dyDescent="0.2">
      <c r="A47" s="1">
        <f t="shared" si="0"/>
        <v>1821610135</v>
      </c>
      <c r="B47" s="1">
        <v>54</v>
      </c>
      <c r="C47" s="1">
        <v>4</v>
      </c>
      <c r="D47" s="1">
        <v>3</v>
      </c>
      <c r="E47" s="1">
        <v>4</v>
      </c>
    </row>
    <row r="48" spans="1:5" x14ac:dyDescent="0.2">
      <c r="A48" s="1">
        <f t="shared" si="0"/>
        <v>1821610136</v>
      </c>
      <c r="B48" s="1">
        <v>34</v>
      </c>
      <c r="C48" s="1">
        <v>5</v>
      </c>
      <c r="D48" s="1">
        <v>5</v>
      </c>
      <c r="E48" s="1">
        <v>5</v>
      </c>
    </row>
    <row r="49" spans="1:5" x14ac:dyDescent="0.2">
      <c r="A49" s="1">
        <f t="shared" si="0"/>
        <v>1821610137</v>
      </c>
      <c r="B49" s="1">
        <v>43</v>
      </c>
      <c r="C49" s="1">
        <v>6</v>
      </c>
      <c r="D49" s="1">
        <v>2</v>
      </c>
      <c r="E49" s="1">
        <v>2</v>
      </c>
    </row>
    <row r="50" spans="1:5" x14ac:dyDescent="0.2">
      <c r="A50" s="1">
        <f t="shared" si="0"/>
        <v>1821610138</v>
      </c>
      <c r="B50" s="1">
        <v>23</v>
      </c>
      <c r="C50" s="1">
        <v>3</v>
      </c>
      <c r="D50" s="1">
        <v>4</v>
      </c>
      <c r="E50" s="1">
        <v>1</v>
      </c>
    </row>
    <row r="51" spans="1:5" x14ac:dyDescent="0.2">
      <c r="A51" s="1">
        <f t="shared" si="0"/>
        <v>1821610139</v>
      </c>
      <c r="B51" s="1">
        <v>87</v>
      </c>
      <c r="C51" s="1">
        <v>2</v>
      </c>
      <c r="D51" s="1">
        <v>5</v>
      </c>
      <c r="E51" s="1">
        <v>2</v>
      </c>
    </row>
    <row r="52" spans="1:5" x14ac:dyDescent="0.2">
      <c r="A52" s="1">
        <f t="shared" si="0"/>
        <v>1821610140</v>
      </c>
      <c r="B52" s="1">
        <v>54</v>
      </c>
      <c r="C52" s="1">
        <v>4</v>
      </c>
      <c r="D52" s="1">
        <v>4</v>
      </c>
      <c r="E52" s="1">
        <v>4</v>
      </c>
    </row>
    <row r="53" spans="1:5" x14ac:dyDescent="0.2">
      <c r="A53" s="1">
        <f t="shared" si="0"/>
        <v>1821610141</v>
      </c>
      <c r="B53" s="1">
        <v>76</v>
      </c>
      <c r="C53" s="1">
        <v>5</v>
      </c>
      <c r="D53" s="1">
        <v>1</v>
      </c>
      <c r="E53" s="1">
        <v>7</v>
      </c>
    </row>
    <row r="54" spans="1:5" x14ac:dyDescent="0.2">
      <c r="A54" s="1">
        <f t="shared" si="0"/>
        <v>1821610142</v>
      </c>
      <c r="B54" s="1">
        <v>34</v>
      </c>
      <c r="C54" s="1">
        <v>8</v>
      </c>
      <c r="D54" s="1">
        <v>2</v>
      </c>
      <c r="E54" s="1">
        <v>8</v>
      </c>
    </row>
    <row r="55" spans="1:5" x14ac:dyDescent="0.2">
      <c r="A55" s="1">
        <f t="shared" si="0"/>
        <v>1821610143</v>
      </c>
      <c r="B55" s="1">
        <v>54</v>
      </c>
      <c r="C55" s="1">
        <v>5</v>
      </c>
      <c r="D55" s="1">
        <v>5</v>
      </c>
      <c r="E55" s="1">
        <v>7</v>
      </c>
    </row>
    <row r="56" spans="1:5" x14ac:dyDescent="0.2">
      <c r="A56" s="1">
        <f t="shared" si="0"/>
        <v>1821610144</v>
      </c>
      <c r="B56" s="1">
        <v>62</v>
      </c>
      <c r="C56" s="1">
        <v>4</v>
      </c>
      <c r="D56" s="1">
        <v>5</v>
      </c>
      <c r="E56" s="1">
        <v>8</v>
      </c>
    </row>
    <row r="57" spans="1:5" x14ac:dyDescent="0.2">
      <c r="A57" s="1">
        <f t="shared" si="0"/>
        <v>1821610145</v>
      </c>
      <c r="B57" s="1">
        <v>64</v>
      </c>
      <c r="C57" s="1">
        <v>7</v>
      </c>
      <c r="D57" s="1">
        <v>5</v>
      </c>
      <c r="E57" s="1">
        <v>7</v>
      </c>
    </row>
    <row r="58" spans="1:5" x14ac:dyDescent="0.2">
      <c r="A58" s="1">
        <f t="shared" si="0"/>
        <v>1821610146</v>
      </c>
      <c r="B58" s="1">
        <v>23</v>
      </c>
      <c r="C58" s="1">
        <v>8</v>
      </c>
      <c r="D58" s="1">
        <v>4</v>
      </c>
      <c r="E58" s="1">
        <v>9</v>
      </c>
    </row>
    <row r="59" spans="1:5" x14ac:dyDescent="0.2">
      <c r="A59" s="1">
        <f t="shared" si="0"/>
        <v>1821610147</v>
      </c>
      <c r="B59" s="1">
        <v>65</v>
      </c>
      <c r="C59" s="1">
        <v>9</v>
      </c>
      <c r="D59" s="1">
        <v>5</v>
      </c>
      <c r="E59" s="1">
        <v>6</v>
      </c>
    </row>
    <row r="60" spans="1:5" x14ac:dyDescent="0.2">
      <c r="A60" s="1">
        <f t="shared" si="0"/>
        <v>1821610148</v>
      </c>
      <c r="B60" s="1">
        <v>23</v>
      </c>
      <c r="C60" s="1">
        <v>6</v>
      </c>
      <c r="D60" s="1">
        <v>2</v>
      </c>
      <c r="E60" s="1">
        <v>9</v>
      </c>
    </row>
    <row r="61" spans="1:5" x14ac:dyDescent="0.2">
      <c r="A61" s="1">
        <f t="shared" si="0"/>
        <v>1821610149</v>
      </c>
      <c r="B61" s="1">
        <v>67</v>
      </c>
      <c r="C61" s="1">
        <v>5</v>
      </c>
      <c r="D61" s="1">
        <v>3</v>
      </c>
      <c r="E61" s="1">
        <v>8</v>
      </c>
    </row>
    <row r="62" spans="1:5" x14ac:dyDescent="0.2">
      <c r="A62" s="1">
        <f t="shared" si="0"/>
        <v>1821610150</v>
      </c>
      <c r="B62" s="1">
        <v>23</v>
      </c>
      <c r="C62" s="1">
        <v>2</v>
      </c>
      <c r="D62" s="1">
        <v>4</v>
      </c>
      <c r="E62" s="1">
        <v>9</v>
      </c>
    </row>
    <row r="63" spans="1:5" x14ac:dyDescent="0.2">
      <c r="A63" s="1">
        <f t="shared" si="0"/>
        <v>1821610151</v>
      </c>
      <c r="B63" s="1">
        <v>43</v>
      </c>
      <c r="C63" s="1">
        <v>1</v>
      </c>
      <c r="D63" s="1">
        <v>5</v>
      </c>
      <c r="E63" s="1">
        <v>9</v>
      </c>
    </row>
    <row r="64" spans="1:5" x14ac:dyDescent="0.2">
      <c r="A64" s="1">
        <f t="shared" si="0"/>
        <v>1821610152</v>
      </c>
      <c r="B64" s="1">
        <v>43</v>
      </c>
      <c r="C64" s="1">
        <v>4</v>
      </c>
      <c r="D64" s="1">
        <v>4</v>
      </c>
      <c r="E64" s="1">
        <v>9</v>
      </c>
    </row>
    <row r="65" spans="1:5" x14ac:dyDescent="0.2">
      <c r="A65" s="1">
        <f t="shared" si="0"/>
        <v>1821610153</v>
      </c>
      <c r="B65" s="1">
        <v>42</v>
      </c>
      <c r="C65" s="1">
        <v>5</v>
      </c>
      <c r="D65" s="1">
        <v>5</v>
      </c>
      <c r="E65" s="1">
        <v>5</v>
      </c>
    </row>
    <row r="66" spans="1:5" x14ac:dyDescent="0.2">
      <c r="A66" s="1">
        <f t="shared" si="0"/>
        <v>1821610154</v>
      </c>
      <c r="B66" s="1">
        <v>47</v>
      </c>
      <c r="C66" s="1">
        <v>6</v>
      </c>
      <c r="D66" s="1">
        <v>5</v>
      </c>
      <c r="E66" s="1">
        <v>4</v>
      </c>
    </row>
    <row r="67" spans="1:5" x14ac:dyDescent="0.2">
      <c r="A67" s="1">
        <f t="shared" si="0"/>
        <v>1821610155</v>
      </c>
      <c r="B67" s="1">
        <v>62</v>
      </c>
      <c r="C67" s="1">
        <v>9</v>
      </c>
      <c r="D67" s="1">
        <v>4</v>
      </c>
      <c r="E67" s="1">
        <v>7</v>
      </c>
    </row>
    <row r="68" spans="1:5" x14ac:dyDescent="0.2">
      <c r="A68" s="1">
        <f t="shared" si="0"/>
        <v>1821610156</v>
      </c>
      <c r="B68" s="1">
        <v>43</v>
      </c>
      <c r="C68" s="1">
        <v>8</v>
      </c>
      <c r="D68" s="1">
        <v>2</v>
      </c>
      <c r="E68" s="1">
        <v>8</v>
      </c>
    </row>
    <row r="69" spans="1:5" x14ac:dyDescent="0.2">
      <c r="A69" s="1">
        <f t="shared" si="0"/>
        <v>1821610157</v>
      </c>
      <c r="B69" s="1">
        <v>65</v>
      </c>
      <c r="C69" s="1">
        <v>7</v>
      </c>
      <c r="D69" s="1">
        <v>3</v>
      </c>
      <c r="E69" s="1">
        <v>7</v>
      </c>
    </row>
    <row r="70" spans="1:5" x14ac:dyDescent="0.2">
      <c r="A70" s="1">
        <f t="shared" si="0"/>
        <v>1821610158</v>
      </c>
      <c r="B70" s="1">
        <v>23</v>
      </c>
      <c r="C70" s="1">
        <v>8</v>
      </c>
      <c r="D70" s="1">
        <v>1</v>
      </c>
      <c r="E70" s="1">
        <v>10</v>
      </c>
    </row>
    <row r="71" spans="1:5" x14ac:dyDescent="0.2">
      <c r="A71" s="1">
        <f t="shared" si="0"/>
        <v>1821610159</v>
      </c>
      <c r="B71" s="1">
        <v>46</v>
      </c>
      <c r="C71" s="1">
        <v>9</v>
      </c>
      <c r="D71" s="1">
        <v>5</v>
      </c>
      <c r="E71" s="1">
        <v>1</v>
      </c>
    </row>
    <row r="72" spans="1:5" x14ac:dyDescent="0.2">
      <c r="A72" s="1">
        <f t="shared" si="0"/>
        <v>1821610160</v>
      </c>
      <c r="B72" s="1">
        <v>32</v>
      </c>
      <c r="C72" s="1">
        <v>6</v>
      </c>
      <c r="D72" s="1">
        <v>4</v>
      </c>
      <c r="E72" s="1">
        <v>10</v>
      </c>
    </row>
    <row r="73" spans="1:5" x14ac:dyDescent="0.2">
      <c r="A73" s="1">
        <f t="shared" si="0"/>
        <v>1821610161</v>
      </c>
      <c r="B73" s="1">
        <v>64</v>
      </c>
      <c r="C73" s="1">
        <v>5</v>
      </c>
      <c r="D73" s="1">
        <v>1</v>
      </c>
      <c r="E73" s="1">
        <v>9</v>
      </c>
    </row>
    <row r="74" spans="1:5" x14ac:dyDescent="0.2">
      <c r="A74" s="1">
        <f t="shared" si="0"/>
        <v>1821610162</v>
      </c>
      <c r="B74" s="1">
        <v>35</v>
      </c>
      <c r="C74" s="1">
        <v>4</v>
      </c>
      <c r="D74" s="1">
        <v>1</v>
      </c>
      <c r="E74" s="1">
        <v>8</v>
      </c>
    </row>
    <row r="75" spans="1:5" x14ac:dyDescent="0.2">
      <c r="A75" s="1">
        <f t="shared" si="0"/>
        <v>1821610163</v>
      </c>
      <c r="B75" s="1">
        <v>27</v>
      </c>
      <c r="C75" s="1">
        <v>7</v>
      </c>
      <c r="D75" s="1">
        <v>2</v>
      </c>
      <c r="E75" s="1">
        <v>7</v>
      </c>
    </row>
    <row r="76" spans="1:5" x14ac:dyDescent="0.2">
      <c r="A76" s="1">
        <f t="shared" si="0"/>
        <v>1821610164</v>
      </c>
      <c r="B76" s="1">
        <v>35</v>
      </c>
      <c r="C76" s="1">
        <v>8</v>
      </c>
      <c r="D76" s="1">
        <v>5</v>
      </c>
      <c r="E76" s="1">
        <v>4</v>
      </c>
    </row>
    <row r="77" spans="1:5" x14ac:dyDescent="0.2">
      <c r="A77" s="1">
        <f t="shared" si="0"/>
        <v>1821610165</v>
      </c>
      <c r="B77" s="1">
        <v>23</v>
      </c>
      <c r="C77" s="1">
        <v>5</v>
      </c>
      <c r="D77" s="1">
        <v>4</v>
      </c>
      <c r="E77" s="1">
        <v>1</v>
      </c>
    </row>
    <row r="78" spans="1:5" x14ac:dyDescent="0.2">
      <c r="A78" s="1">
        <f t="shared" ref="A78:A111" si="1">SUM(A77+1)</f>
        <v>1821610166</v>
      </c>
      <c r="B78" s="1">
        <v>62</v>
      </c>
      <c r="C78" s="1">
        <v>6</v>
      </c>
      <c r="D78" s="1">
        <v>5</v>
      </c>
      <c r="E78" s="1">
        <v>5</v>
      </c>
    </row>
    <row r="79" spans="1:5" x14ac:dyDescent="0.2">
      <c r="A79" s="1">
        <f t="shared" si="1"/>
        <v>1821610167</v>
      </c>
      <c r="B79" s="1">
        <v>85</v>
      </c>
      <c r="C79" s="1">
        <v>4</v>
      </c>
      <c r="D79" s="1">
        <v>0</v>
      </c>
      <c r="E79" s="1">
        <v>7</v>
      </c>
    </row>
    <row r="80" spans="1:5" x14ac:dyDescent="0.2">
      <c r="A80" s="1">
        <f t="shared" si="1"/>
        <v>1821610168</v>
      </c>
      <c r="B80" s="1">
        <v>34</v>
      </c>
      <c r="C80" s="1">
        <v>5</v>
      </c>
      <c r="D80" s="1">
        <v>1</v>
      </c>
      <c r="E80" s="1">
        <v>8</v>
      </c>
    </row>
    <row r="81" spans="1:5" x14ac:dyDescent="0.2">
      <c r="A81" s="1">
        <f t="shared" si="1"/>
        <v>1821610169</v>
      </c>
      <c r="B81" s="1">
        <v>62</v>
      </c>
      <c r="C81" s="1">
        <v>6</v>
      </c>
      <c r="D81" s="1">
        <v>4</v>
      </c>
      <c r="E81" s="1">
        <v>7</v>
      </c>
    </row>
    <row r="82" spans="1:5" x14ac:dyDescent="0.2">
      <c r="A82" s="1">
        <f t="shared" si="1"/>
        <v>1821610170</v>
      </c>
      <c r="B82" s="1">
        <v>46</v>
      </c>
      <c r="C82" s="1">
        <v>5</v>
      </c>
      <c r="D82" s="1">
        <v>5</v>
      </c>
      <c r="E82" s="1">
        <v>6</v>
      </c>
    </row>
    <row r="83" spans="1:5" x14ac:dyDescent="0.2">
      <c r="A83" s="1">
        <f t="shared" si="1"/>
        <v>1821610171</v>
      </c>
      <c r="B83" s="1">
        <v>47</v>
      </c>
      <c r="C83" s="1">
        <v>9</v>
      </c>
      <c r="D83" s="1">
        <v>2</v>
      </c>
      <c r="E83" s="1">
        <v>5</v>
      </c>
    </row>
    <row r="84" spans="1:5" x14ac:dyDescent="0.2">
      <c r="A84" s="1">
        <f t="shared" si="1"/>
        <v>1821610172</v>
      </c>
      <c r="B84" s="1">
        <v>14</v>
      </c>
      <c r="C84" s="1">
        <v>5</v>
      </c>
      <c r="D84" s="1">
        <v>1</v>
      </c>
      <c r="E84" s="1">
        <v>8</v>
      </c>
    </row>
    <row r="85" spans="1:5" x14ac:dyDescent="0.2">
      <c r="A85" s="1">
        <f t="shared" si="1"/>
        <v>1821610173</v>
      </c>
      <c r="B85" s="1">
        <v>34</v>
      </c>
      <c r="C85" s="1">
        <v>5</v>
      </c>
      <c r="D85" s="1">
        <v>4</v>
      </c>
      <c r="E85" s="1">
        <v>4</v>
      </c>
    </row>
    <row r="86" spans="1:5" x14ac:dyDescent="0.2">
      <c r="A86" s="1">
        <f t="shared" si="1"/>
        <v>1821610174</v>
      </c>
      <c r="B86" s="1">
        <v>83</v>
      </c>
      <c r="C86" s="1">
        <v>4</v>
      </c>
      <c r="D86" s="1">
        <v>5</v>
      </c>
      <c r="E86" s="1">
        <v>8</v>
      </c>
    </row>
    <row r="87" spans="1:5" x14ac:dyDescent="0.2">
      <c r="A87" s="1">
        <f t="shared" si="1"/>
        <v>1821610175</v>
      </c>
      <c r="B87" s="1">
        <v>27</v>
      </c>
      <c r="C87" s="1">
        <v>6</v>
      </c>
      <c r="D87" s="1">
        <v>2</v>
      </c>
      <c r="E87" s="1">
        <v>7</v>
      </c>
    </row>
    <row r="88" spans="1:5" x14ac:dyDescent="0.2">
      <c r="A88" s="1">
        <f t="shared" si="1"/>
        <v>1821610176</v>
      </c>
      <c r="B88" s="1">
        <v>45</v>
      </c>
      <c r="C88" s="1">
        <v>9</v>
      </c>
      <c r="D88" s="1">
        <v>1</v>
      </c>
      <c r="E88" s="1">
        <v>9</v>
      </c>
    </row>
    <row r="89" spans="1:5" x14ac:dyDescent="0.2">
      <c r="A89" s="1">
        <f t="shared" si="1"/>
        <v>1821610177</v>
      </c>
      <c r="B89" s="1">
        <v>34</v>
      </c>
      <c r="C89" s="1">
        <v>7</v>
      </c>
      <c r="D89" s="1">
        <v>3</v>
      </c>
      <c r="E89" s="1">
        <v>8</v>
      </c>
    </row>
    <row r="90" spans="1:5" x14ac:dyDescent="0.2">
      <c r="A90" s="1">
        <f t="shared" si="1"/>
        <v>1821610178</v>
      </c>
      <c r="B90" s="1">
        <v>37</v>
      </c>
      <c r="C90" s="1">
        <v>5</v>
      </c>
      <c r="D90" s="1">
        <v>5</v>
      </c>
      <c r="E90" s="1">
        <v>5</v>
      </c>
    </row>
    <row r="91" spans="1:5" x14ac:dyDescent="0.2">
      <c r="A91" s="1">
        <f t="shared" si="1"/>
        <v>1821610179</v>
      </c>
      <c r="B91" s="1">
        <v>75</v>
      </c>
      <c r="C91" s="1">
        <v>2</v>
      </c>
      <c r="D91" s="1">
        <v>4</v>
      </c>
      <c r="E91" s="1">
        <v>4</v>
      </c>
    </row>
    <row r="92" spans="1:5" x14ac:dyDescent="0.2">
      <c r="A92" s="1">
        <f t="shared" si="1"/>
        <v>1821610180</v>
      </c>
      <c r="B92" s="1">
        <v>24</v>
      </c>
      <c r="C92" s="1">
        <v>1</v>
      </c>
      <c r="D92" s="1">
        <v>1</v>
      </c>
      <c r="E92" s="1">
        <v>7</v>
      </c>
    </row>
    <row r="93" spans="1:5" x14ac:dyDescent="0.2">
      <c r="A93" s="1">
        <f t="shared" si="1"/>
        <v>1821610181</v>
      </c>
      <c r="B93" s="1">
        <v>67</v>
      </c>
      <c r="C93" s="1">
        <v>3</v>
      </c>
      <c r="D93" s="1">
        <v>2</v>
      </c>
      <c r="E93" s="1">
        <v>8</v>
      </c>
    </row>
    <row r="94" spans="1:5" x14ac:dyDescent="0.2">
      <c r="A94" s="1">
        <f t="shared" si="1"/>
        <v>1821610182</v>
      </c>
      <c r="B94" s="1">
        <v>65</v>
      </c>
      <c r="C94" s="1">
        <v>6</v>
      </c>
      <c r="D94" s="1">
        <v>3</v>
      </c>
      <c r="E94" s="1">
        <v>7</v>
      </c>
    </row>
    <row r="95" spans="1:5" x14ac:dyDescent="0.2">
      <c r="A95" s="1">
        <f t="shared" si="1"/>
        <v>1821610183</v>
      </c>
      <c r="B95" s="1">
        <v>36</v>
      </c>
      <c r="C95" s="1">
        <v>4</v>
      </c>
      <c r="D95" s="1">
        <v>2</v>
      </c>
      <c r="E95" s="1">
        <v>9</v>
      </c>
    </row>
    <row r="96" spans="1:5" x14ac:dyDescent="0.2">
      <c r="A96" s="1">
        <f t="shared" si="1"/>
        <v>1821610184</v>
      </c>
      <c r="B96" s="1">
        <v>45</v>
      </c>
      <c r="C96" s="1">
        <v>7</v>
      </c>
      <c r="D96" s="1">
        <v>1</v>
      </c>
      <c r="E96" s="1">
        <v>8</v>
      </c>
    </row>
    <row r="97" spans="1:5" x14ac:dyDescent="0.2">
      <c r="A97" s="1">
        <f t="shared" si="1"/>
        <v>1821610185</v>
      </c>
      <c r="B97" s="1">
        <v>9</v>
      </c>
      <c r="C97" s="1">
        <v>8</v>
      </c>
      <c r="D97" s="1">
        <v>4</v>
      </c>
      <c r="E97" s="1">
        <v>7</v>
      </c>
    </row>
    <row r="98" spans="1:5" x14ac:dyDescent="0.2">
      <c r="A98" s="1">
        <f t="shared" si="1"/>
        <v>1821610186</v>
      </c>
      <c r="B98" s="1">
        <v>5</v>
      </c>
      <c r="C98" s="1">
        <v>9</v>
      </c>
      <c r="D98" s="1">
        <v>5</v>
      </c>
      <c r="E98" s="1">
        <v>8</v>
      </c>
    </row>
    <row r="99" spans="1:5" x14ac:dyDescent="0.2">
      <c r="A99" s="1">
        <f t="shared" si="1"/>
        <v>1821610187</v>
      </c>
      <c r="B99" s="1">
        <v>7</v>
      </c>
      <c r="C99" s="1">
        <v>8</v>
      </c>
      <c r="D99" s="1">
        <v>2</v>
      </c>
      <c r="E99" s="1">
        <v>8</v>
      </c>
    </row>
    <row r="100" spans="1:5" x14ac:dyDescent="0.2">
      <c r="A100" s="1">
        <f t="shared" si="1"/>
        <v>1821610188</v>
      </c>
      <c r="B100" s="1">
        <v>32</v>
      </c>
      <c r="C100" s="1">
        <v>7</v>
      </c>
      <c r="D100" s="1">
        <v>3</v>
      </c>
      <c r="E100" s="1">
        <v>7</v>
      </c>
    </row>
    <row r="101" spans="1:5" x14ac:dyDescent="0.2">
      <c r="A101" s="1">
        <f t="shared" si="1"/>
        <v>1821610189</v>
      </c>
      <c r="B101" s="1">
        <v>64</v>
      </c>
      <c r="C101" s="1">
        <v>1</v>
      </c>
      <c r="D101" s="1">
        <v>1</v>
      </c>
      <c r="E101" s="1">
        <v>9</v>
      </c>
    </row>
    <row r="102" spans="1:5" x14ac:dyDescent="0.2">
      <c r="A102" s="1">
        <f t="shared" si="1"/>
        <v>1821610190</v>
      </c>
      <c r="B102" s="1">
        <v>34</v>
      </c>
      <c r="C102" s="1">
        <v>3</v>
      </c>
      <c r="D102" s="1">
        <v>4</v>
      </c>
      <c r="E102" s="1">
        <v>8</v>
      </c>
    </row>
    <row r="103" spans="1:5" x14ac:dyDescent="0.2">
      <c r="A103" s="1">
        <f t="shared" si="1"/>
        <v>1821610191</v>
      </c>
      <c r="B103" s="1">
        <v>64</v>
      </c>
      <c r="C103" s="1">
        <v>5</v>
      </c>
      <c r="D103" s="1">
        <v>5</v>
      </c>
      <c r="E103" s="1">
        <v>6</v>
      </c>
    </row>
    <row r="104" spans="1:5" x14ac:dyDescent="0.2">
      <c r="A104" s="1">
        <f t="shared" si="1"/>
        <v>1821610192</v>
      </c>
      <c r="B104" s="1">
        <v>63</v>
      </c>
      <c r="C104" s="1">
        <v>4</v>
      </c>
      <c r="D104" s="1">
        <v>2</v>
      </c>
      <c r="E104" s="1">
        <v>5</v>
      </c>
    </row>
    <row r="105" spans="1:5" x14ac:dyDescent="0.2">
      <c r="A105" s="1">
        <f t="shared" si="1"/>
        <v>1821610193</v>
      </c>
      <c r="B105" s="1">
        <v>86</v>
      </c>
      <c r="C105" s="1">
        <v>6</v>
      </c>
      <c r="D105" s="1">
        <v>3</v>
      </c>
      <c r="E105" s="1">
        <v>8</v>
      </c>
    </row>
    <row r="106" spans="1:5" x14ac:dyDescent="0.2">
      <c r="A106" s="1">
        <f t="shared" si="1"/>
        <v>1821610194</v>
      </c>
      <c r="B106" s="1">
        <v>32</v>
      </c>
      <c r="C106" s="1">
        <v>5</v>
      </c>
      <c r="D106" s="1">
        <v>5</v>
      </c>
      <c r="E106" s="1">
        <v>7</v>
      </c>
    </row>
    <row r="107" spans="1:5" x14ac:dyDescent="0.2">
      <c r="A107" s="1">
        <f t="shared" si="1"/>
        <v>1821610195</v>
      </c>
      <c r="B107" s="1">
        <v>74</v>
      </c>
      <c r="C107" s="1">
        <v>7</v>
      </c>
      <c r="D107" s="1">
        <v>4</v>
      </c>
      <c r="E107" s="1">
        <v>8</v>
      </c>
    </row>
    <row r="108" spans="1:5" x14ac:dyDescent="0.2">
      <c r="A108" s="1">
        <f t="shared" si="1"/>
        <v>1821610196</v>
      </c>
      <c r="B108" s="1">
        <v>95</v>
      </c>
      <c r="C108" s="1">
        <v>9</v>
      </c>
      <c r="D108" s="1">
        <v>5</v>
      </c>
      <c r="E108" s="1">
        <v>9</v>
      </c>
    </row>
    <row r="109" spans="1:5" x14ac:dyDescent="0.2">
      <c r="A109" s="1">
        <f t="shared" si="1"/>
        <v>1821610197</v>
      </c>
      <c r="B109" s="1">
        <v>43</v>
      </c>
      <c r="C109" s="1">
        <v>8</v>
      </c>
      <c r="D109" s="1">
        <v>4</v>
      </c>
      <c r="E109" s="1">
        <v>8</v>
      </c>
    </row>
    <row r="110" spans="1:5" x14ac:dyDescent="0.2">
      <c r="A110" s="1">
        <f t="shared" si="1"/>
        <v>1821610198</v>
      </c>
      <c r="B110" s="1">
        <v>64</v>
      </c>
      <c r="C110" s="1">
        <v>9</v>
      </c>
      <c r="D110" s="1">
        <v>5</v>
      </c>
      <c r="E110" s="1">
        <v>7</v>
      </c>
    </row>
    <row r="111" spans="1:5" x14ac:dyDescent="0.2">
      <c r="A111" s="1">
        <f t="shared" si="1"/>
        <v>1821610199</v>
      </c>
      <c r="B111" s="1">
        <v>0</v>
      </c>
      <c r="C111" s="1">
        <v>5</v>
      </c>
      <c r="D111" s="1">
        <v>5</v>
      </c>
      <c r="E111" s="1">
        <v>5</v>
      </c>
    </row>
  </sheetData>
  <pageMargins left="0.7" right="0.7" top="0.75" bottom="0.75" header="0.3" footer="0.3"/>
  <ignoredErrors>
    <ignoredError sqref="C6:F6 C7:C8 D7:D8 E7:E8 F7:F8 G7:G8" calculatedColumn="1"/>
    <ignoredError sqref="G6" formulaRange="1" calculatedColumn="1"/>
  </ignoredErrors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A292-4BB4-41A0-9406-6FF108FCE195}">
  <dimension ref="A1:H101"/>
  <sheetViews>
    <sheetView workbookViewId="0">
      <pane ySplit="1" topLeftCell="A2" activePane="bottomLeft" state="frozen"/>
      <selection pane="bottomLeft" activeCell="F2" sqref="F2:F15"/>
    </sheetView>
  </sheetViews>
  <sheetFormatPr defaultRowHeight="26.25" x14ac:dyDescent="0.2"/>
  <cols>
    <col min="1" max="1" width="19" style="6" customWidth="1"/>
    <col min="2" max="14" width="15.875" style="6" customWidth="1"/>
    <col min="15" max="16384" width="9" style="6"/>
  </cols>
  <sheetData>
    <row r="1" spans="1:8" x14ac:dyDescent="0.2">
      <c r="A1" s="6" t="s">
        <v>8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21</v>
      </c>
      <c r="G1" s="6" t="s">
        <v>22</v>
      </c>
      <c r="H1" s="6" t="s">
        <v>23</v>
      </c>
    </row>
    <row r="2" spans="1:8" x14ac:dyDescent="0.2">
      <c r="A2" s="6">
        <v>1821610124</v>
      </c>
      <c r="B2" s="6">
        <v>76</v>
      </c>
      <c r="C2" s="6">
        <v>4</v>
      </c>
      <c r="D2" s="6">
        <v>1</v>
      </c>
      <c r="E2" s="6">
        <v>1</v>
      </c>
      <c r="F2" s="6">
        <f>(SUM(C2:E2)/25)*25</f>
        <v>6</v>
      </c>
      <c r="G2" s="6">
        <f>(B2/100)*75</f>
        <v>57</v>
      </c>
      <c r="H2" s="7">
        <f>F2+G2</f>
        <v>63</v>
      </c>
    </row>
    <row r="3" spans="1:8" x14ac:dyDescent="0.2">
      <c r="A3" s="6">
        <v>1821610138</v>
      </c>
      <c r="B3" s="6">
        <v>23</v>
      </c>
      <c r="C3" s="6">
        <v>3</v>
      </c>
      <c r="D3" s="6">
        <v>4</v>
      </c>
      <c r="E3" s="6">
        <v>1</v>
      </c>
      <c r="F3" s="6">
        <f>(SUM(C3:E3)/25)*25</f>
        <v>8</v>
      </c>
      <c r="G3" s="6">
        <f>(B3/100)*75</f>
        <v>17.25</v>
      </c>
      <c r="H3" s="7">
        <f>F3+G3</f>
        <v>25.25</v>
      </c>
    </row>
    <row r="4" spans="1:8" x14ac:dyDescent="0.2">
      <c r="A4" s="6">
        <v>1821610108</v>
      </c>
      <c r="B4" s="6">
        <v>76</v>
      </c>
      <c r="C4" s="6">
        <v>1</v>
      </c>
      <c r="D4" s="6">
        <v>2</v>
      </c>
      <c r="E4" s="6">
        <v>5</v>
      </c>
      <c r="F4" s="6">
        <f>(SUM(C4:E4)/25)*25</f>
        <v>8</v>
      </c>
      <c r="G4" s="6">
        <f>(B4/100)*75</f>
        <v>57</v>
      </c>
      <c r="H4" s="7">
        <f>F4+G4</f>
        <v>65</v>
      </c>
    </row>
    <row r="5" spans="1:8" x14ac:dyDescent="0.2">
      <c r="A5" s="6">
        <v>1821610180</v>
      </c>
      <c r="B5" s="6">
        <v>24</v>
      </c>
      <c r="C5" s="6">
        <v>1</v>
      </c>
      <c r="D5" s="6">
        <v>1</v>
      </c>
      <c r="E5" s="6">
        <v>7</v>
      </c>
      <c r="F5" s="6">
        <f>(SUM(C5:E5)/25)*25</f>
        <v>9</v>
      </c>
      <c r="G5" s="6">
        <f>(B5/100)*75</f>
        <v>18</v>
      </c>
      <c r="H5" s="7">
        <f>F5+G5</f>
        <v>27</v>
      </c>
    </row>
    <row r="6" spans="1:8" x14ac:dyDescent="0.2">
      <c r="A6" s="6">
        <v>1821610107</v>
      </c>
      <c r="B6" s="6">
        <v>54</v>
      </c>
      <c r="C6" s="6">
        <v>5</v>
      </c>
      <c r="D6" s="6">
        <v>1</v>
      </c>
      <c r="E6" s="6">
        <v>3</v>
      </c>
      <c r="F6" s="6">
        <f>(SUM(C6:E6)/25)*25</f>
        <v>9</v>
      </c>
      <c r="G6" s="6">
        <f>(B6/100)*75</f>
        <v>40.5</v>
      </c>
      <c r="H6" s="7">
        <f>F6+G6</f>
        <v>49.5</v>
      </c>
    </row>
    <row r="7" spans="1:8" x14ac:dyDescent="0.2">
      <c r="A7" s="6">
        <v>1821610134</v>
      </c>
      <c r="B7" s="6">
        <v>79</v>
      </c>
      <c r="C7" s="6">
        <v>1</v>
      </c>
      <c r="D7" s="6">
        <v>1</v>
      </c>
      <c r="E7" s="6">
        <v>7</v>
      </c>
      <c r="F7" s="6">
        <f>(SUM(C7:E7)/25)*25</f>
        <v>9</v>
      </c>
      <c r="G7" s="6">
        <f>(B7/100)*75</f>
        <v>59.25</v>
      </c>
      <c r="H7" s="7">
        <f>F7+G7</f>
        <v>68.25</v>
      </c>
    </row>
    <row r="8" spans="1:8" x14ac:dyDescent="0.2">
      <c r="A8" s="6">
        <v>1821610139</v>
      </c>
      <c r="B8" s="6">
        <v>87</v>
      </c>
      <c r="C8" s="6">
        <v>2</v>
      </c>
      <c r="D8" s="6">
        <v>5</v>
      </c>
      <c r="E8" s="6">
        <v>2</v>
      </c>
      <c r="F8" s="6">
        <f>(SUM(C8:E8)/25)*25</f>
        <v>9</v>
      </c>
      <c r="G8" s="6">
        <f>(B8/100)*75</f>
        <v>65.25</v>
      </c>
      <c r="H8" s="7">
        <f>F8+G8</f>
        <v>74.25</v>
      </c>
    </row>
    <row r="9" spans="1:8" x14ac:dyDescent="0.2">
      <c r="A9" s="6">
        <v>1821610103</v>
      </c>
      <c r="B9" s="6">
        <v>100</v>
      </c>
      <c r="C9" s="6">
        <v>4</v>
      </c>
      <c r="D9" s="6">
        <v>1</v>
      </c>
      <c r="E9" s="6">
        <v>4</v>
      </c>
      <c r="F9" s="6">
        <f>(SUM(C9:E9)/25)*25</f>
        <v>9</v>
      </c>
      <c r="G9" s="6">
        <f>(B9/100)*75</f>
        <v>75</v>
      </c>
      <c r="H9" s="7">
        <f>F9+G9</f>
        <v>84</v>
      </c>
    </row>
    <row r="10" spans="1:8" x14ac:dyDescent="0.2">
      <c r="A10" s="6">
        <v>1821610126</v>
      </c>
      <c r="B10" s="6">
        <v>8</v>
      </c>
      <c r="C10" s="6">
        <v>6</v>
      </c>
      <c r="D10" s="6">
        <v>3</v>
      </c>
      <c r="E10" s="6">
        <v>1</v>
      </c>
      <c r="F10" s="6">
        <f>(SUM(C10:E10)/25)*25</f>
        <v>10</v>
      </c>
      <c r="G10" s="6">
        <f>(B10/100)*75</f>
        <v>6</v>
      </c>
      <c r="H10" s="7">
        <f>F10+G10</f>
        <v>16</v>
      </c>
    </row>
    <row r="11" spans="1:8" x14ac:dyDescent="0.2">
      <c r="A11" s="6">
        <v>1821610165</v>
      </c>
      <c r="B11" s="6">
        <v>23</v>
      </c>
      <c r="C11" s="6">
        <v>5</v>
      </c>
      <c r="D11" s="6">
        <v>4</v>
      </c>
      <c r="E11" s="6">
        <v>1</v>
      </c>
      <c r="F11" s="6">
        <f>(SUM(C11:E11)/25)*25</f>
        <v>10</v>
      </c>
      <c r="G11" s="6">
        <f>(B11/100)*75</f>
        <v>17.25</v>
      </c>
      <c r="H11" s="7">
        <f>F11+G11</f>
        <v>27.25</v>
      </c>
    </row>
    <row r="12" spans="1:8" x14ac:dyDescent="0.2">
      <c r="A12" s="6">
        <v>1821610137</v>
      </c>
      <c r="B12" s="6">
        <v>43</v>
      </c>
      <c r="C12" s="6">
        <v>6</v>
      </c>
      <c r="D12" s="6">
        <v>2</v>
      </c>
      <c r="E12" s="6">
        <v>2</v>
      </c>
      <c r="F12" s="6">
        <f>(SUM(C12:E12)/25)*25</f>
        <v>10</v>
      </c>
      <c r="G12" s="6">
        <f>(B12/100)*75</f>
        <v>32.25</v>
      </c>
      <c r="H12" s="7">
        <f>F12+G12</f>
        <v>42.25</v>
      </c>
    </row>
    <row r="13" spans="1:8" x14ac:dyDescent="0.2">
      <c r="A13" s="6">
        <v>1821610179</v>
      </c>
      <c r="B13" s="6">
        <v>75</v>
      </c>
      <c r="C13" s="6">
        <v>2</v>
      </c>
      <c r="D13" s="6">
        <v>4</v>
      </c>
      <c r="E13" s="6">
        <v>4</v>
      </c>
      <c r="F13" s="6">
        <f>(SUM(C13:E13)/25)*25</f>
        <v>10</v>
      </c>
      <c r="G13" s="6">
        <f>(B13/100)*75</f>
        <v>56.25</v>
      </c>
      <c r="H13" s="7">
        <f>F13+G13</f>
        <v>66.25</v>
      </c>
    </row>
    <row r="14" spans="1:8" x14ac:dyDescent="0.2">
      <c r="A14" s="6">
        <v>1821610114</v>
      </c>
      <c r="B14" s="6">
        <v>76</v>
      </c>
      <c r="C14" s="6">
        <v>5</v>
      </c>
      <c r="D14" s="6">
        <v>1</v>
      </c>
      <c r="E14" s="6">
        <v>4</v>
      </c>
      <c r="F14" s="6">
        <f>(SUM(C14:E14)/25)*25</f>
        <v>10</v>
      </c>
      <c r="G14" s="6">
        <f>(B14/100)*75</f>
        <v>57</v>
      </c>
      <c r="H14" s="7">
        <f>F14+G14</f>
        <v>67</v>
      </c>
    </row>
    <row r="15" spans="1:8" x14ac:dyDescent="0.2">
      <c r="A15" s="6">
        <v>1821610101</v>
      </c>
      <c r="B15" s="6">
        <v>99</v>
      </c>
      <c r="C15" s="6">
        <v>2</v>
      </c>
      <c r="D15" s="6">
        <v>4</v>
      </c>
      <c r="E15" s="6">
        <v>4</v>
      </c>
      <c r="F15" s="6">
        <f>(SUM(C15:E15)/25)*25</f>
        <v>10</v>
      </c>
      <c r="G15" s="6">
        <f>(B15/100)*75</f>
        <v>74.25</v>
      </c>
      <c r="H15" s="7">
        <f>F15+G15</f>
        <v>84.25</v>
      </c>
    </row>
    <row r="16" spans="1:8" x14ac:dyDescent="0.2">
      <c r="A16" s="6">
        <v>1821610130</v>
      </c>
      <c r="B16" s="6">
        <v>6</v>
      </c>
      <c r="C16" s="6">
        <v>2</v>
      </c>
      <c r="D16" s="6">
        <v>2</v>
      </c>
      <c r="E16" s="6">
        <v>7</v>
      </c>
      <c r="F16" s="6">
        <f>(SUM(C16:E16)/25)*25</f>
        <v>11</v>
      </c>
      <c r="G16" s="6">
        <f>(B16/100)*75</f>
        <v>4.5</v>
      </c>
      <c r="H16" s="7">
        <f>F16+G16</f>
        <v>15.5</v>
      </c>
    </row>
    <row r="17" spans="1:8" x14ac:dyDescent="0.2">
      <c r="A17" s="6">
        <v>1821610116</v>
      </c>
      <c r="B17" s="6">
        <v>23</v>
      </c>
      <c r="C17" s="6">
        <v>1</v>
      </c>
      <c r="D17" s="6">
        <v>2</v>
      </c>
      <c r="E17" s="6">
        <v>8</v>
      </c>
      <c r="F17" s="6">
        <f>(SUM(C17:E17)/25)*25</f>
        <v>11</v>
      </c>
      <c r="G17" s="6">
        <f>(B17/100)*75</f>
        <v>17.25</v>
      </c>
      <c r="H17" s="7">
        <f>F17+G17</f>
        <v>28.25</v>
      </c>
    </row>
    <row r="18" spans="1:8" x14ac:dyDescent="0.2">
      <c r="A18" s="6">
        <v>1821610100</v>
      </c>
      <c r="B18" s="6">
        <v>27</v>
      </c>
      <c r="C18" s="6">
        <v>1</v>
      </c>
      <c r="D18" s="6">
        <v>2</v>
      </c>
      <c r="E18" s="6">
        <v>8</v>
      </c>
      <c r="F18" s="6">
        <f>(SUM(C18:E18)/25)*25</f>
        <v>11</v>
      </c>
      <c r="G18" s="6">
        <f>(B18/100)*75</f>
        <v>20.25</v>
      </c>
      <c r="H18" s="7">
        <f>F18+G18</f>
        <v>31.25</v>
      </c>
    </row>
    <row r="19" spans="1:8" x14ac:dyDescent="0.2">
      <c r="A19" s="6">
        <v>1821610135</v>
      </c>
      <c r="B19" s="6">
        <v>54</v>
      </c>
      <c r="C19" s="6">
        <v>4</v>
      </c>
      <c r="D19" s="6">
        <v>3</v>
      </c>
      <c r="E19" s="6">
        <v>4</v>
      </c>
      <c r="F19" s="6">
        <f>(SUM(C19:E19)/25)*25</f>
        <v>11</v>
      </c>
      <c r="G19" s="6">
        <f>(B19/100)*75</f>
        <v>40.5</v>
      </c>
      <c r="H19" s="7">
        <f>F19+G19</f>
        <v>51.5</v>
      </c>
    </row>
    <row r="20" spans="1:8" x14ac:dyDescent="0.2">
      <c r="A20" s="6">
        <v>1821610192</v>
      </c>
      <c r="B20" s="6">
        <v>63</v>
      </c>
      <c r="C20" s="6">
        <v>4</v>
      </c>
      <c r="D20" s="6">
        <v>2</v>
      </c>
      <c r="E20" s="6">
        <v>5</v>
      </c>
      <c r="F20" s="6">
        <f>(SUM(C20:E20)/25)*25</f>
        <v>11</v>
      </c>
      <c r="G20" s="6">
        <f>(B20/100)*75</f>
        <v>47.25</v>
      </c>
      <c r="H20" s="7">
        <f>F20+G20</f>
        <v>58.25</v>
      </c>
    </row>
    <row r="21" spans="1:8" x14ac:dyDescent="0.2">
      <c r="A21" s="6">
        <v>1821610189</v>
      </c>
      <c r="B21" s="6">
        <v>64</v>
      </c>
      <c r="C21" s="6">
        <v>1</v>
      </c>
      <c r="D21" s="6">
        <v>1</v>
      </c>
      <c r="E21" s="6">
        <v>9</v>
      </c>
      <c r="F21" s="6">
        <f>(SUM(C21:E21)/25)*25</f>
        <v>11</v>
      </c>
      <c r="G21" s="6">
        <f>(B21/100)*75</f>
        <v>48</v>
      </c>
      <c r="H21" s="7">
        <f>F21+G21</f>
        <v>59</v>
      </c>
    </row>
    <row r="22" spans="1:8" x14ac:dyDescent="0.2">
      <c r="A22" s="6">
        <v>1821610120</v>
      </c>
      <c r="B22" s="6">
        <v>65</v>
      </c>
      <c r="C22" s="6">
        <v>2</v>
      </c>
      <c r="D22" s="6">
        <v>1</v>
      </c>
      <c r="E22" s="6">
        <v>8</v>
      </c>
      <c r="F22" s="6">
        <f>(SUM(C22:E22)/25)*25</f>
        <v>11</v>
      </c>
      <c r="G22" s="6">
        <f>(B22/100)*75</f>
        <v>48.75</v>
      </c>
      <c r="H22" s="7">
        <f>F22+G22</f>
        <v>59.75</v>
      </c>
    </row>
    <row r="23" spans="1:8" x14ac:dyDescent="0.2">
      <c r="A23" s="6">
        <v>1821610167</v>
      </c>
      <c r="B23" s="6">
        <v>85</v>
      </c>
      <c r="C23" s="6">
        <v>4</v>
      </c>
      <c r="D23" s="6">
        <v>0</v>
      </c>
      <c r="E23" s="6">
        <v>7</v>
      </c>
      <c r="F23" s="6">
        <f>(SUM(C23:E23)/25)*25</f>
        <v>11</v>
      </c>
      <c r="G23" s="6">
        <f>(B23/100)*75</f>
        <v>63.75</v>
      </c>
      <c r="H23" s="7">
        <f>F23+G23</f>
        <v>74.75</v>
      </c>
    </row>
    <row r="24" spans="1:8" x14ac:dyDescent="0.2">
      <c r="A24" s="6">
        <v>1821610102</v>
      </c>
      <c r="B24" s="6">
        <v>97</v>
      </c>
      <c r="C24" s="6">
        <v>6</v>
      </c>
      <c r="D24" s="6">
        <v>3</v>
      </c>
      <c r="E24" s="6">
        <v>2</v>
      </c>
      <c r="F24" s="6">
        <f>(SUM(C24:E24)/25)*25</f>
        <v>11</v>
      </c>
      <c r="G24" s="6">
        <f>(B24/100)*75</f>
        <v>72.75</v>
      </c>
      <c r="H24" s="7">
        <f>F24+G24</f>
        <v>83.75</v>
      </c>
    </row>
    <row r="25" spans="1:8" x14ac:dyDescent="0.2">
      <c r="A25" s="6">
        <v>1821610140</v>
      </c>
      <c r="B25" s="6">
        <v>54</v>
      </c>
      <c r="C25" s="6">
        <v>4</v>
      </c>
      <c r="D25" s="6">
        <v>4</v>
      </c>
      <c r="E25" s="6">
        <v>4</v>
      </c>
      <c r="F25" s="6">
        <f>(SUM(C25:E25)/25)*25</f>
        <v>12</v>
      </c>
      <c r="G25" s="6">
        <f>(B25/100)*75</f>
        <v>40.5</v>
      </c>
      <c r="H25" s="7">
        <f>F25+G25</f>
        <v>52.5</v>
      </c>
    </row>
    <row r="26" spans="1:8" x14ac:dyDescent="0.2">
      <c r="A26" s="6">
        <v>1821610129</v>
      </c>
      <c r="B26" s="6">
        <v>1</v>
      </c>
      <c r="C26" s="6">
        <v>1</v>
      </c>
      <c r="D26" s="6">
        <v>5</v>
      </c>
      <c r="E26" s="6">
        <v>7</v>
      </c>
      <c r="F26" s="6">
        <f>(SUM(C26:E26)/25)*25</f>
        <v>13</v>
      </c>
      <c r="G26" s="6">
        <f>(B26/100)*75</f>
        <v>0.75</v>
      </c>
      <c r="H26" s="7">
        <f>F26+G26</f>
        <v>13.75</v>
      </c>
    </row>
    <row r="27" spans="1:8" x14ac:dyDescent="0.2">
      <c r="A27" s="6">
        <v>1821610119</v>
      </c>
      <c r="B27" s="6">
        <v>23</v>
      </c>
      <c r="C27" s="6">
        <v>4</v>
      </c>
      <c r="D27" s="6">
        <v>2</v>
      </c>
      <c r="E27" s="6">
        <v>7</v>
      </c>
      <c r="F27" s="6">
        <f>(SUM(C27:E27)/25)*25</f>
        <v>13</v>
      </c>
      <c r="G27" s="6">
        <f>(B27/100)*75</f>
        <v>17.25</v>
      </c>
      <c r="H27" s="7">
        <f>F27+G27</f>
        <v>30.25</v>
      </c>
    </row>
    <row r="28" spans="1:8" x14ac:dyDescent="0.2">
      <c r="A28" s="6">
        <v>1821610113</v>
      </c>
      <c r="B28" s="6">
        <v>32</v>
      </c>
      <c r="C28" s="6">
        <v>4</v>
      </c>
      <c r="D28" s="6">
        <v>2</v>
      </c>
      <c r="E28" s="6">
        <v>7</v>
      </c>
      <c r="F28" s="6">
        <f>(SUM(C28:E28)/25)*25</f>
        <v>13</v>
      </c>
      <c r="G28" s="6">
        <f>(B28/100)*75</f>
        <v>24</v>
      </c>
      <c r="H28" s="7">
        <f>F28+G28</f>
        <v>37</v>
      </c>
    </row>
    <row r="29" spans="1:8" x14ac:dyDescent="0.2">
      <c r="A29" s="6">
        <v>1821610173</v>
      </c>
      <c r="B29" s="6">
        <v>34</v>
      </c>
      <c r="C29" s="6">
        <v>5</v>
      </c>
      <c r="D29" s="6">
        <v>4</v>
      </c>
      <c r="E29" s="6">
        <v>4</v>
      </c>
      <c r="F29" s="6">
        <f>(SUM(C29:E29)/25)*25</f>
        <v>13</v>
      </c>
      <c r="G29" s="6">
        <f>(B29/100)*75</f>
        <v>25.500000000000004</v>
      </c>
      <c r="H29" s="7">
        <f>F29+G29</f>
        <v>38.5</v>
      </c>
    </row>
    <row r="30" spans="1:8" x14ac:dyDescent="0.2">
      <c r="A30" s="6">
        <v>1821610162</v>
      </c>
      <c r="B30" s="6">
        <v>35</v>
      </c>
      <c r="C30" s="6">
        <v>4</v>
      </c>
      <c r="D30" s="6">
        <v>1</v>
      </c>
      <c r="E30" s="6">
        <v>8</v>
      </c>
      <c r="F30" s="6">
        <f>(SUM(C30:E30)/25)*25</f>
        <v>13</v>
      </c>
      <c r="G30" s="6">
        <f>(B30/100)*75</f>
        <v>26.25</v>
      </c>
      <c r="H30" s="7">
        <f>F30+G30</f>
        <v>39.25</v>
      </c>
    </row>
    <row r="31" spans="1:8" x14ac:dyDescent="0.2">
      <c r="A31" s="6">
        <v>1821610125</v>
      </c>
      <c r="B31" s="6">
        <v>43</v>
      </c>
      <c r="C31" s="6">
        <v>3</v>
      </c>
      <c r="D31" s="6">
        <v>2</v>
      </c>
      <c r="E31" s="6">
        <v>8</v>
      </c>
      <c r="F31" s="6">
        <f>(SUM(C31:E31)/25)*25</f>
        <v>13</v>
      </c>
      <c r="G31" s="6">
        <f>(B31/100)*75</f>
        <v>32.25</v>
      </c>
      <c r="H31" s="7">
        <f>F31+G31</f>
        <v>45.25</v>
      </c>
    </row>
    <row r="32" spans="1:8" x14ac:dyDescent="0.2">
      <c r="A32" s="6">
        <v>1821610181</v>
      </c>
      <c r="B32" s="6">
        <v>67</v>
      </c>
      <c r="C32" s="6">
        <v>3</v>
      </c>
      <c r="D32" s="6">
        <v>2</v>
      </c>
      <c r="E32" s="6">
        <v>8</v>
      </c>
      <c r="F32" s="6">
        <f>(SUM(C32:E32)/25)*25</f>
        <v>13</v>
      </c>
      <c r="G32" s="6">
        <f>(B32/100)*75</f>
        <v>50.25</v>
      </c>
      <c r="H32" s="7">
        <f>F32+G32</f>
        <v>63.25</v>
      </c>
    </row>
    <row r="33" spans="1:8" x14ac:dyDescent="0.2">
      <c r="A33" s="6">
        <v>1821610141</v>
      </c>
      <c r="B33" s="6">
        <v>76</v>
      </c>
      <c r="C33" s="6">
        <v>5</v>
      </c>
      <c r="D33" s="6">
        <v>1</v>
      </c>
      <c r="E33" s="6">
        <v>7</v>
      </c>
      <c r="F33" s="6">
        <f>(SUM(C33:E33)/25)*25</f>
        <v>13</v>
      </c>
      <c r="G33" s="6">
        <f>(B33/100)*75</f>
        <v>57</v>
      </c>
      <c r="H33" s="7">
        <f>F33+G33</f>
        <v>70</v>
      </c>
    </row>
    <row r="34" spans="1:8" x14ac:dyDescent="0.2">
      <c r="A34" s="6">
        <v>1821610127</v>
      </c>
      <c r="B34" s="6">
        <v>1</v>
      </c>
      <c r="C34" s="6">
        <v>9</v>
      </c>
      <c r="D34" s="6">
        <v>1</v>
      </c>
      <c r="E34" s="6">
        <v>4</v>
      </c>
      <c r="F34" s="6">
        <f>(SUM(C34:E34)/25)*25</f>
        <v>14.000000000000002</v>
      </c>
      <c r="G34" s="6">
        <f>(B34/100)*75</f>
        <v>0.75</v>
      </c>
      <c r="H34" s="7">
        <f>F34+G34</f>
        <v>14.750000000000002</v>
      </c>
    </row>
    <row r="35" spans="1:8" x14ac:dyDescent="0.2">
      <c r="A35" s="6">
        <v>1821610172</v>
      </c>
      <c r="B35" s="6">
        <v>14</v>
      </c>
      <c r="C35" s="6">
        <v>5</v>
      </c>
      <c r="D35" s="6">
        <v>1</v>
      </c>
      <c r="E35" s="6">
        <v>8</v>
      </c>
      <c r="F35" s="6">
        <f>(SUM(C35:E35)/25)*25</f>
        <v>14.000000000000002</v>
      </c>
      <c r="G35" s="6">
        <f>(B35/100)*75</f>
        <v>10.500000000000002</v>
      </c>
      <c r="H35" s="7">
        <f>F35+G35</f>
        <v>24.500000000000004</v>
      </c>
    </row>
    <row r="36" spans="1:8" x14ac:dyDescent="0.2">
      <c r="A36" s="6">
        <v>1821610121</v>
      </c>
      <c r="B36" s="6">
        <v>23</v>
      </c>
      <c r="C36" s="6">
        <v>6</v>
      </c>
      <c r="D36" s="6">
        <v>3</v>
      </c>
      <c r="E36" s="6">
        <v>5</v>
      </c>
      <c r="F36" s="6">
        <f>(SUM(C36:E36)/25)*25</f>
        <v>14.000000000000002</v>
      </c>
      <c r="G36" s="6">
        <f>(B36/100)*75</f>
        <v>17.25</v>
      </c>
      <c r="H36" s="7">
        <f>F36+G36</f>
        <v>31.25</v>
      </c>
    </row>
    <row r="37" spans="1:8" x14ac:dyDescent="0.2">
      <c r="A37" s="6">
        <v>1821610168</v>
      </c>
      <c r="B37" s="6">
        <v>34</v>
      </c>
      <c r="C37" s="6">
        <v>5</v>
      </c>
      <c r="D37" s="6">
        <v>1</v>
      </c>
      <c r="E37" s="6">
        <v>8</v>
      </c>
      <c r="F37" s="6">
        <f>(SUM(C37:E37)/25)*25</f>
        <v>14.000000000000002</v>
      </c>
      <c r="G37" s="6">
        <f>(B37/100)*75</f>
        <v>25.500000000000004</v>
      </c>
      <c r="H37" s="7">
        <f>F37+G37</f>
        <v>39.500000000000007</v>
      </c>
    </row>
    <row r="38" spans="1:8" x14ac:dyDescent="0.2">
      <c r="A38" s="6">
        <v>1821610133</v>
      </c>
      <c r="B38" s="6">
        <v>43</v>
      </c>
      <c r="C38" s="6">
        <v>2</v>
      </c>
      <c r="D38" s="6">
        <v>4</v>
      </c>
      <c r="E38" s="6">
        <v>8</v>
      </c>
      <c r="F38" s="6">
        <f>(SUM(C38:E38)/25)*25</f>
        <v>14.000000000000002</v>
      </c>
      <c r="G38" s="6">
        <f>(B38/100)*75</f>
        <v>32.25</v>
      </c>
      <c r="H38" s="7">
        <f>F38+G38</f>
        <v>46.25</v>
      </c>
    </row>
    <row r="39" spans="1:8" x14ac:dyDescent="0.2">
      <c r="A39" s="6">
        <v>1821610112</v>
      </c>
      <c r="B39" s="6">
        <v>87</v>
      </c>
      <c r="C39" s="6">
        <v>3</v>
      </c>
      <c r="D39" s="6">
        <v>3</v>
      </c>
      <c r="E39" s="6">
        <v>8</v>
      </c>
      <c r="F39" s="6">
        <f>(SUM(C39:E39)/25)*25</f>
        <v>14.000000000000002</v>
      </c>
      <c r="G39" s="6">
        <f>(B39/100)*75</f>
        <v>65.25</v>
      </c>
      <c r="H39" s="7">
        <f>F39+G39</f>
        <v>79.25</v>
      </c>
    </row>
    <row r="40" spans="1:8" x14ac:dyDescent="0.2">
      <c r="A40" s="6">
        <v>1821610199</v>
      </c>
      <c r="B40" s="6">
        <v>0</v>
      </c>
      <c r="C40" s="6">
        <v>5</v>
      </c>
      <c r="D40" s="6">
        <v>5</v>
      </c>
      <c r="E40" s="6">
        <v>5</v>
      </c>
      <c r="F40" s="6">
        <f>(SUM(C40:E40)/25)*25</f>
        <v>15</v>
      </c>
      <c r="G40" s="6">
        <f>(B40/100)*75</f>
        <v>0</v>
      </c>
      <c r="H40" s="7">
        <f>F40+G40</f>
        <v>15</v>
      </c>
    </row>
    <row r="41" spans="1:8" x14ac:dyDescent="0.2">
      <c r="A41" s="6">
        <v>1821610111</v>
      </c>
      <c r="B41" s="6">
        <v>3</v>
      </c>
      <c r="C41" s="6">
        <v>6</v>
      </c>
      <c r="D41" s="6">
        <v>2</v>
      </c>
      <c r="E41" s="6">
        <v>7</v>
      </c>
      <c r="F41" s="6">
        <f>(SUM(C41:E41)/25)*25</f>
        <v>15</v>
      </c>
      <c r="G41" s="6">
        <f>(B41/100)*75</f>
        <v>2.25</v>
      </c>
      <c r="H41" s="7">
        <f>F41+G41</f>
        <v>17.25</v>
      </c>
    </row>
    <row r="42" spans="1:8" x14ac:dyDescent="0.2">
      <c r="A42" s="6">
        <v>1821610109</v>
      </c>
      <c r="B42" s="6">
        <v>23</v>
      </c>
      <c r="C42" s="6">
        <v>7</v>
      </c>
      <c r="D42" s="6">
        <v>4</v>
      </c>
      <c r="E42" s="6">
        <v>4</v>
      </c>
      <c r="F42" s="6">
        <f>(SUM(C42:E42)/25)*25</f>
        <v>15</v>
      </c>
      <c r="G42" s="6">
        <f>(B42/100)*75</f>
        <v>17.25</v>
      </c>
      <c r="H42" s="7">
        <f>F42+G42</f>
        <v>32.25</v>
      </c>
    </row>
    <row r="43" spans="1:8" x14ac:dyDescent="0.2">
      <c r="A43" s="6">
        <v>1821610150</v>
      </c>
      <c r="B43" s="6">
        <v>23</v>
      </c>
      <c r="C43" s="6">
        <v>2</v>
      </c>
      <c r="D43" s="6">
        <v>4</v>
      </c>
      <c r="E43" s="6">
        <v>9</v>
      </c>
      <c r="F43" s="6">
        <f>(SUM(C43:E43)/25)*25</f>
        <v>15</v>
      </c>
      <c r="G43" s="6">
        <f>(B43/100)*75</f>
        <v>17.25</v>
      </c>
      <c r="H43" s="7">
        <f>F43+G43</f>
        <v>32.25</v>
      </c>
    </row>
    <row r="44" spans="1:8" x14ac:dyDescent="0.2">
      <c r="A44" s="6">
        <v>1821610175</v>
      </c>
      <c r="B44" s="6">
        <v>27</v>
      </c>
      <c r="C44" s="6">
        <v>6</v>
      </c>
      <c r="D44" s="6">
        <v>2</v>
      </c>
      <c r="E44" s="6">
        <v>7</v>
      </c>
      <c r="F44" s="6">
        <f>(SUM(C44:E44)/25)*25</f>
        <v>15</v>
      </c>
      <c r="G44" s="6">
        <f>(B44/100)*75</f>
        <v>20.25</v>
      </c>
      <c r="H44" s="7">
        <f>F44+G44</f>
        <v>35.25</v>
      </c>
    </row>
    <row r="45" spans="1:8" x14ac:dyDescent="0.2">
      <c r="A45" s="6">
        <v>1821610136</v>
      </c>
      <c r="B45" s="6">
        <v>34</v>
      </c>
      <c r="C45" s="6">
        <v>5</v>
      </c>
      <c r="D45" s="6">
        <v>5</v>
      </c>
      <c r="E45" s="6">
        <v>5</v>
      </c>
      <c r="F45" s="6">
        <f>(SUM(C45:E45)/25)*25</f>
        <v>15</v>
      </c>
      <c r="G45" s="6">
        <f>(B45/100)*75</f>
        <v>25.500000000000004</v>
      </c>
      <c r="H45" s="7">
        <f>F45+G45</f>
        <v>40.5</v>
      </c>
    </row>
    <row r="46" spans="1:8" x14ac:dyDescent="0.2">
      <c r="A46" s="6">
        <v>1821610190</v>
      </c>
      <c r="B46" s="6">
        <v>34</v>
      </c>
      <c r="C46" s="6">
        <v>3</v>
      </c>
      <c r="D46" s="6">
        <v>4</v>
      </c>
      <c r="E46" s="6">
        <v>8</v>
      </c>
      <c r="F46" s="6">
        <f>(SUM(C46:E46)/25)*25</f>
        <v>15</v>
      </c>
      <c r="G46" s="6">
        <f>(B46/100)*75</f>
        <v>25.500000000000004</v>
      </c>
      <c r="H46" s="7">
        <f>F46+G46</f>
        <v>40.5</v>
      </c>
    </row>
    <row r="47" spans="1:8" x14ac:dyDescent="0.2">
      <c r="A47" s="6">
        <v>1821610183</v>
      </c>
      <c r="B47" s="6">
        <v>36</v>
      </c>
      <c r="C47" s="6">
        <v>4</v>
      </c>
      <c r="D47" s="6">
        <v>2</v>
      </c>
      <c r="E47" s="6">
        <v>9</v>
      </c>
      <c r="F47" s="6">
        <f>(SUM(C47:E47)/25)*25</f>
        <v>15</v>
      </c>
      <c r="G47" s="6">
        <f>(B47/100)*75</f>
        <v>27</v>
      </c>
      <c r="H47" s="7">
        <f>F47+G47</f>
        <v>42</v>
      </c>
    </row>
    <row r="48" spans="1:8" x14ac:dyDescent="0.2">
      <c r="A48" s="6">
        <v>1821610178</v>
      </c>
      <c r="B48" s="6">
        <v>37</v>
      </c>
      <c r="C48" s="6">
        <v>5</v>
      </c>
      <c r="D48" s="6">
        <v>5</v>
      </c>
      <c r="E48" s="6">
        <v>5</v>
      </c>
      <c r="F48" s="6">
        <f>(SUM(C48:E48)/25)*25</f>
        <v>15</v>
      </c>
      <c r="G48" s="6">
        <f>(B48/100)*75</f>
        <v>27.75</v>
      </c>
      <c r="H48" s="7">
        <f>F48+G48</f>
        <v>42.75</v>
      </c>
    </row>
    <row r="49" spans="1:8" x14ac:dyDescent="0.2">
      <c r="A49" s="6">
        <v>1821610153</v>
      </c>
      <c r="B49" s="6">
        <v>42</v>
      </c>
      <c r="C49" s="6">
        <v>5</v>
      </c>
      <c r="D49" s="6">
        <v>5</v>
      </c>
      <c r="E49" s="6">
        <v>5</v>
      </c>
      <c r="F49" s="6">
        <f>(SUM(C49:E49)/25)*25</f>
        <v>15</v>
      </c>
      <c r="G49" s="6">
        <f>(B49/100)*75</f>
        <v>31.5</v>
      </c>
      <c r="H49" s="7">
        <f>F49+G49</f>
        <v>46.5</v>
      </c>
    </row>
    <row r="50" spans="1:8" x14ac:dyDescent="0.2">
      <c r="A50" s="6">
        <v>1821610151</v>
      </c>
      <c r="B50" s="6">
        <v>43</v>
      </c>
      <c r="C50" s="6">
        <v>1</v>
      </c>
      <c r="D50" s="6">
        <v>5</v>
      </c>
      <c r="E50" s="6">
        <v>9</v>
      </c>
      <c r="F50" s="6">
        <f>(SUM(C50:E50)/25)*25</f>
        <v>15</v>
      </c>
      <c r="G50" s="6">
        <f>(B50/100)*75</f>
        <v>32.25</v>
      </c>
      <c r="H50" s="7">
        <f>F50+G50</f>
        <v>47.25</v>
      </c>
    </row>
    <row r="51" spans="1:8" x14ac:dyDescent="0.2">
      <c r="A51" s="6">
        <v>1821610106</v>
      </c>
      <c r="B51" s="6">
        <v>45</v>
      </c>
      <c r="C51" s="6">
        <v>6</v>
      </c>
      <c r="D51" s="6">
        <v>3</v>
      </c>
      <c r="E51" s="6">
        <v>6</v>
      </c>
      <c r="F51" s="6">
        <f>(SUM(C51:E51)/25)*25</f>
        <v>15</v>
      </c>
      <c r="G51" s="6">
        <f>(B51/100)*75</f>
        <v>33.75</v>
      </c>
      <c r="H51" s="7">
        <f>F51+G51</f>
        <v>48.75</v>
      </c>
    </row>
    <row r="52" spans="1:8" x14ac:dyDescent="0.2">
      <c r="A52" s="6">
        <v>1821610159</v>
      </c>
      <c r="B52" s="6">
        <v>46</v>
      </c>
      <c r="C52" s="6">
        <v>9</v>
      </c>
      <c r="D52" s="6">
        <v>5</v>
      </c>
      <c r="E52" s="6">
        <v>1</v>
      </c>
      <c r="F52" s="6">
        <f>(SUM(C52:E52)/25)*25</f>
        <v>15</v>
      </c>
      <c r="G52" s="6">
        <f>(B52/100)*75</f>
        <v>34.5</v>
      </c>
      <c r="H52" s="7">
        <f>F52+G52</f>
        <v>49.5</v>
      </c>
    </row>
    <row r="53" spans="1:8" x14ac:dyDescent="0.2">
      <c r="A53" s="6">
        <v>1821610154</v>
      </c>
      <c r="B53" s="6">
        <v>47</v>
      </c>
      <c r="C53" s="6">
        <v>6</v>
      </c>
      <c r="D53" s="6">
        <v>5</v>
      </c>
      <c r="E53" s="6">
        <v>4</v>
      </c>
      <c r="F53" s="6">
        <f>(SUM(C53:E53)/25)*25</f>
        <v>15</v>
      </c>
      <c r="G53" s="6">
        <f>(B53/100)*75</f>
        <v>35.25</v>
      </c>
      <c r="H53" s="7">
        <f>F53+G53</f>
        <v>50.25</v>
      </c>
    </row>
    <row r="54" spans="1:8" x14ac:dyDescent="0.2">
      <c r="A54" s="6">
        <v>1821610161</v>
      </c>
      <c r="B54" s="6">
        <v>64</v>
      </c>
      <c r="C54" s="6">
        <v>5</v>
      </c>
      <c r="D54" s="6">
        <v>1</v>
      </c>
      <c r="E54" s="6">
        <v>9</v>
      </c>
      <c r="F54" s="6">
        <f>(SUM(C54:E54)/25)*25</f>
        <v>15</v>
      </c>
      <c r="G54" s="6">
        <f>(B54/100)*75</f>
        <v>48</v>
      </c>
      <c r="H54" s="7">
        <f>F54+G54</f>
        <v>63</v>
      </c>
    </row>
    <row r="55" spans="1:8" x14ac:dyDescent="0.2">
      <c r="A55" s="6">
        <v>1821610105</v>
      </c>
      <c r="B55" s="6">
        <v>65</v>
      </c>
      <c r="C55" s="6">
        <v>4</v>
      </c>
      <c r="D55" s="6">
        <v>2</v>
      </c>
      <c r="E55" s="6">
        <v>9</v>
      </c>
      <c r="F55" s="6">
        <f>(SUM(C55:E55)/25)*25</f>
        <v>15</v>
      </c>
      <c r="G55" s="6">
        <f>(B55/100)*75</f>
        <v>48.75</v>
      </c>
      <c r="H55" s="7">
        <f>F55+G55</f>
        <v>63.75</v>
      </c>
    </row>
    <row r="56" spans="1:8" x14ac:dyDescent="0.2">
      <c r="A56" s="6">
        <v>1821610132</v>
      </c>
      <c r="B56" s="6">
        <v>100</v>
      </c>
      <c r="C56" s="6">
        <v>6</v>
      </c>
      <c r="D56" s="6">
        <v>3</v>
      </c>
      <c r="E56" s="6">
        <v>6</v>
      </c>
      <c r="F56" s="6">
        <f>(SUM(C56:E56)/25)*25</f>
        <v>15</v>
      </c>
      <c r="G56" s="6">
        <f>(B56/100)*75</f>
        <v>75</v>
      </c>
      <c r="H56" s="7">
        <f>F56+G56</f>
        <v>90</v>
      </c>
    </row>
    <row r="57" spans="1:8" x14ac:dyDescent="0.2">
      <c r="A57" s="6">
        <v>1821610128</v>
      </c>
      <c r="B57" s="6">
        <v>0</v>
      </c>
      <c r="C57" s="6">
        <v>4</v>
      </c>
      <c r="D57" s="6">
        <v>4</v>
      </c>
      <c r="E57" s="6">
        <v>8</v>
      </c>
      <c r="F57" s="6">
        <f>(SUM(C57:E57)/25)*25</f>
        <v>16</v>
      </c>
      <c r="G57" s="6">
        <f>(B57/100)*75</f>
        <v>0</v>
      </c>
      <c r="H57" s="7">
        <f>F57+G57</f>
        <v>16</v>
      </c>
    </row>
    <row r="58" spans="1:8" x14ac:dyDescent="0.2">
      <c r="A58" s="6">
        <v>1821610163</v>
      </c>
      <c r="B58" s="6">
        <v>27</v>
      </c>
      <c r="C58" s="6">
        <v>7</v>
      </c>
      <c r="D58" s="6">
        <v>2</v>
      </c>
      <c r="E58" s="6">
        <v>7</v>
      </c>
      <c r="F58" s="6">
        <f>(SUM(C58:E58)/25)*25</f>
        <v>16</v>
      </c>
      <c r="G58" s="6">
        <f>(B58/100)*75</f>
        <v>20.25</v>
      </c>
      <c r="H58" s="7">
        <f>F58+G58</f>
        <v>36.25</v>
      </c>
    </row>
    <row r="59" spans="1:8" x14ac:dyDescent="0.2">
      <c r="A59" s="6">
        <v>1821610184</v>
      </c>
      <c r="B59" s="6">
        <v>45</v>
      </c>
      <c r="C59" s="6">
        <v>7</v>
      </c>
      <c r="D59" s="6">
        <v>1</v>
      </c>
      <c r="E59" s="6">
        <v>8</v>
      </c>
      <c r="F59" s="6">
        <f>(SUM(C59:E59)/25)*25</f>
        <v>16</v>
      </c>
      <c r="G59" s="6">
        <f>(B59/100)*75</f>
        <v>33.75</v>
      </c>
      <c r="H59" s="7">
        <f>F59+G59</f>
        <v>49.75</v>
      </c>
    </row>
    <row r="60" spans="1:8" x14ac:dyDescent="0.2">
      <c r="A60" s="6">
        <v>1821610170</v>
      </c>
      <c r="B60" s="6">
        <v>46</v>
      </c>
      <c r="C60" s="6">
        <v>5</v>
      </c>
      <c r="D60" s="6">
        <v>5</v>
      </c>
      <c r="E60" s="6">
        <v>6</v>
      </c>
      <c r="F60" s="6">
        <f>(SUM(C60:E60)/25)*25</f>
        <v>16</v>
      </c>
      <c r="G60" s="6">
        <f>(B60/100)*75</f>
        <v>34.5</v>
      </c>
      <c r="H60" s="7">
        <f>F60+G60</f>
        <v>50.5</v>
      </c>
    </row>
    <row r="61" spans="1:8" x14ac:dyDescent="0.2">
      <c r="A61" s="6">
        <v>1821610171</v>
      </c>
      <c r="B61" s="6">
        <v>47</v>
      </c>
      <c r="C61" s="6">
        <v>9</v>
      </c>
      <c r="D61" s="6">
        <v>2</v>
      </c>
      <c r="E61" s="6">
        <v>5</v>
      </c>
      <c r="F61" s="6">
        <f>(SUM(C61:E61)/25)*25</f>
        <v>16</v>
      </c>
      <c r="G61" s="6">
        <f>(B61/100)*75</f>
        <v>35.25</v>
      </c>
      <c r="H61" s="7">
        <f>F61+G61</f>
        <v>51.25</v>
      </c>
    </row>
    <row r="62" spans="1:8" x14ac:dyDescent="0.2">
      <c r="A62" s="6">
        <v>1821610123</v>
      </c>
      <c r="B62" s="6">
        <v>52</v>
      </c>
      <c r="C62" s="6">
        <v>7</v>
      </c>
      <c r="D62" s="6">
        <v>4</v>
      </c>
      <c r="E62" s="6">
        <v>5</v>
      </c>
      <c r="F62" s="6">
        <f>(SUM(C62:E62)/25)*25</f>
        <v>16</v>
      </c>
      <c r="G62" s="6">
        <f>(B62/100)*75</f>
        <v>39</v>
      </c>
      <c r="H62" s="7">
        <f>F62+G62</f>
        <v>55</v>
      </c>
    </row>
    <row r="63" spans="1:8" x14ac:dyDescent="0.2">
      <c r="A63" s="6">
        <v>1821610166</v>
      </c>
      <c r="B63" s="6">
        <v>62</v>
      </c>
      <c r="C63" s="6">
        <v>6</v>
      </c>
      <c r="D63" s="6">
        <v>5</v>
      </c>
      <c r="E63" s="6">
        <v>5</v>
      </c>
      <c r="F63" s="6">
        <f>(SUM(C63:E63)/25)*25</f>
        <v>16</v>
      </c>
      <c r="G63" s="6">
        <f>(B63/100)*75</f>
        <v>46.5</v>
      </c>
      <c r="H63" s="7">
        <f>F63+G63</f>
        <v>62.5</v>
      </c>
    </row>
    <row r="64" spans="1:8" x14ac:dyDescent="0.2">
      <c r="A64" s="6">
        <v>1821610191</v>
      </c>
      <c r="B64" s="6">
        <v>64</v>
      </c>
      <c r="C64" s="6">
        <v>5</v>
      </c>
      <c r="D64" s="6">
        <v>5</v>
      </c>
      <c r="E64" s="6">
        <v>6</v>
      </c>
      <c r="F64" s="6">
        <f>(SUM(C64:E64)/25)*25</f>
        <v>16</v>
      </c>
      <c r="G64" s="6">
        <f>(B64/100)*75</f>
        <v>48</v>
      </c>
      <c r="H64" s="7">
        <f>F64+G64</f>
        <v>64</v>
      </c>
    </row>
    <row r="65" spans="1:8" x14ac:dyDescent="0.2">
      <c r="A65" s="6">
        <v>1821610182</v>
      </c>
      <c r="B65" s="6">
        <v>65</v>
      </c>
      <c r="C65" s="6">
        <v>6</v>
      </c>
      <c r="D65" s="6">
        <v>3</v>
      </c>
      <c r="E65" s="6">
        <v>7</v>
      </c>
      <c r="F65" s="6">
        <f>(SUM(C65:E65)/25)*25</f>
        <v>16</v>
      </c>
      <c r="G65" s="6">
        <f>(B65/100)*75</f>
        <v>48.75</v>
      </c>
      <c r="H65" s="7">
        <f>F65+G65</f>
        <v>64.75</v>
      </c>
    </row>
    <row r="66" spans="1:8" x14ac:dyDescent="0.2">
      <c r="A66" s="6">
        <v>1821610149</v>
      </c>
      <c r="B66" s="6">
        <v>67</v>
      </c>
      <c r="C66" s="6">
        <v>5</v>
      </c>
      <c r="D66" s="6">
        <v>3</v>
      </c>
      <c r="E66" s="6">
        <v>8</v>
      </c>
      <c r="F66" s="6">
        <f>(SUM(C66:E66)/25)*25</f>
        <v>16</v>
      </c>
      <c r="G66" s="6">
        <f>(B66/100)*75</f>
        <v>50.25</v>
      </c>
      <c r="H66" s="7">
        <f>F66+G66</f>
        <v>66.25</v>
      </c>
    </row>
    <row r="67" spans="1:8" x14ac:dyDescent="0.2">
      <c r="A67" s="6">
        <v>1821610148</v>
      </c>
      <c r="B67" s="6">
        <v>23</v>
      </c>
      <c r="C67" s="6">
        <v>6</v>
      </c>
      <c r="D67" s="6">
        <v>2</v>
      </c>
      <c r="E67" s="6">
        <v>9</v>
      </c>
      <c r="F67" s="6">
        <f>(SUM(C67:E67)/25)*25</f>
        <v>17</v>
      </c>
      <c r="G67" s="6">
        <f>(B67/100)*75</f>
        <v>17.25</v>
      </c>
      <c r="H67" s="7">
        <f>F67+G67</f>
        <v>34.25</v>
      </c>
    </row>
    <row r="68" spans="1:8" x14ac:dyDescent="0.2">
      <c r="A68" s="6">
        <v>1821610188</v>
      </c>
      <c r="B68" s="6">
        <v>32</v>
      </c>
      <c r="C68" s="6">
        <v>7</v>
      </c>
      <c r="D68" s="6">
        <v>3</v>
      </c>
      <c r="E68" s="6">
        <v>7</v>
      </c>
      <c r="F68" s="6">
        <f>(SUM(C68:E68)/25)*25</f>
        <v>17</v>
      </c>
      <c r="G68" s="6">
        <f>(B68/100)*75</f>
        <v>24</v>
      </c>
      <c r="H68" s="7">
        <f>F68+G68</f>
        <v>41</v>
      </c>
    </row>
    <row r="69" spans="1:8" x14ac:dyDescent="0.2">
      <c r="A69" s="6">
        <v>1821610194</v>
      </c>
      <c r="B69" s="6">
        <v>32</v>
      </c>
      <c r="C69" s="6">
        <v>5</v>
      </c>
      <c r="D69" s="6">
        <v>5</v>
      </c>
      <c r="E69" s="6">
        <v>7</v>
      </c>
      <c r="F69" s="6">
        <f>(SUM(C69:E69)/25)*25</f>
        <v>17</v>
      </c>
      <c r="G69" s="6">
        <f>(B69/100)*75</f>
        <v>24</v>
      </c>
      <c r="H69" s="7">
        <f>F69+G69</f>
        <v>41</v>
      </c>
    </row>
    <row r="70" spans="1:8" x14ac:dyDescent="0.2">
      <c r="A70" s="6">
        <v>1821610164</v>
      </c>
      <c r="B70" s="6">
        <v>35</v>
      </c>
      <c r="C70" s="6">
        <v>8</v>
      </c>
      <c r="D70" s="6">
        <v>5</v>
      </c>
      <c r="E70" s="6">
        <v>4</v>
      </c>
      <c r="F70" s="6">
        <f>(SUM(C70:E70)/25)*25</f>
        <v>17</v>
      </c>
      <c r="G70" s="6">
        <f>(B70/100)*75</f>
        <v>26.25</v>
      </c>
      <c r="H70" s="7">
        <f>F70+G70</f>
        <v>43.25</v>
      </c>
    </row>
    <row r="71" spans="1:8" x14ac:dyDescent="0.2">
      <c r="A71" s="6">
        <v>1821610152</v>
      </c>
      <c r="B71" s="6">
        <v>43</v>
      </c>
      <c r="C71" s="6">
        <v>4</v>
      </c>
      <c r="D71" s="6">
        <v>4</v>
      </c>
      <c r="E71" s="6">
        <v>9</v>
      </c>
      <c r="F71" s="6">
        <f>(SUM(C71:E71)/25)*25</f>
        <v>17</v>
      </c>
      <c r="G71" s="6">
        <f>(B71/100)*75</f>
        <v>32.25</v>
      </c>
      <c r="H71" s="7">
        <f>F71+G71</f>
        <v>49.25</v>
      </c>
    </row>
    <row r="72" spans="1:8" x14ac:dyDescent="0.2">
      <c r="A72" s="6">
        <v>1821610143</v>
      </c>
      <c r="B72" s="6">
        <v>54</v>
      </c>
      <c r="C72" s="6">
        <v>5</v>
      </c>
      <c r="D72" s="6">
        <v>5</v>
      </c>
      <c r="E72" s="6">
        <v>7</v>
      </c>
      <c r="F72" s="6">
        <f>(SUM(C72:E72)/25)*25</f>
        <v>17</v>
      </c>
      <c r="G72" s="6">
        <f>(B72/100)*75</f>
        <v>40.5</v>
      </c>
      <c r="H72" s="7">
        <f>F72+G72</f>
        <v>57.5</v>
      </c>
    </row>
    <row r="73" spans="1:8" x14ac:dyDescent="0.2">
      <c r="A73" s="6">
        <v>1821610144</v>
      </c>
      <c r="B73" s="6">
        <v>62</v>
      </c>
      <c r="C73" s="6">
        <v>4</v>
      </c>
      <c r="D73" s="6">
        <v>5</v>
      </c>
      <c r="E73" s="6">
        <v>8</v>
      </c>
      <c r="F73" s="6">
        <f>(SUM(C73:E73)/25)*25</f>
        <v>17</v>
      </c>
      <c r="G73" s="6">
        <f>(B73/100)*75</f>
        <v>46.5</v>
      </c>
      <c r="H73" s="7">
        <f>F73+G73</f>
        <v>63.5</v>
      </c>
    </row>
    <row r="74" spans="1:8" x14ac:dyDescent="0.2">
      <c r="A74" s="6">
        <v>1821610169</v>
      </c>
      <c r="B74" s="6">
        <v>62</v>
      </c>
      <c r="C74" s="6">
        <v>6</v>
      </c>
      <c r="D74" s="6">
        <v>4</v>
      </c>
      <c r="E74" s="6">
        <v>7</v>
      </c>
      <c r="F74" s="6">
        <f>(SUM(C74:E74)/25)*25</f>
        <v>17</v>
      </c>
      <c r="G74" s="6">
        <f>(B74/100)*75</f>
        <v>46.5</v>
      </c>
      <c r="H74" s="7">
        <f>F74+G74</f>
        <v>63.5</v>
      </c>
    </row>
    <row r="75" spans="1:8" x14ac:dyDescent="0.2">
      <c r="A75" s="6">
        <v>1821610157</v>
      </c>
      <c r="B75" s="6">
        <v>65</v>
      </c>
      <c r="C75" s="6">
        <v>7</v>
      </c>
      <c r="D75" s="6">
        <v>3</v>
      </c>
      <c r="E75" s="6">
        <v>7</v>
      </c>
      <c r="F75" s="6">
        <f>(SUM(C75:E75)/25)*25</f>
        <v>17</v>
      </c>
      <c r="G75" s="6">
        <f>(B75/100)*75</f>
        <v>48.75</v>
      </c>
      <c r="H75" s="7">
        <f>F75+G75</f>
        <v>65.75</v>
      </c>
    </row>
    <row r="76" spans="1:8" x14ac:dyDescent="0.2">
      <c r="A76" s="6">
        <v>1821610122</v>
      </c>
      <c r="B76" s="6">
        <v>73</v>
      </c>
      <c r="C76" s="6">
        <v>8</v>
      </c>
      <c r="D76" s="6">
        <v>5</v>
      </c>
      <c r="E76" s="6">
        <v>4</v>
      </c>
      <c r="F76" s="6">
        <f>(SUM(C76:E76)/25)*25</f>
        <v>17</v>
      </c>
      <c r="G76" s="6">
        <f>(B76/100)*75</f>
        <v>54.75</v>
      </c>
      <c r="H76" s="7">
        <f>F76+G76</f>
        <v>71.75</v>
      </c>
    </row>
    <row r="77" spans="1:8" x14ac:dyDescent="0.2">
      <c r="A77" s="6">
        <v>1821610174</v>
      </c>
      <c r="B77" s="6">
        <v>83</v>
      </c>
      <c r="C77" s="6">
        <v>4</v>
      </c>
      <c r="D77" s="6">
        <v>5</v>
      </c>
      <c r="E77" s="6">
        <v>8</v>
      </c>
      <c r="F77" s="6">
        <f>(SUM(C77:E77)/25)*25</f>
        <v>17</v>
      </c>
      <c r="G77" s="6">
        <f>(B77/100)*75</f>
        <v>62.25</v>
      </c>
      <c r="H77" s="7">
        <f>F77+G77</f>
        <v>79.25</v>
      </c>
    </row>
    <row r="78" spans="1:8" x14ac:dyDescent="0.2">
      <c r="A78" s="6">
        <v>1821610193</v>
      </c>
      <c r="B78" s="6">
        <v>86</v>
      </c>
      <c r="C78" s="6">
        <v>6</v>
      </c>
      <c r="D78" s="6">
        <v>3</v>
      </c>
      <c r="E78" s="6">
        <v>8</v>
      </c>
      <c r="F78" s="6">
        <f>(SUM(C78:E78)/25)*25</f>
        <v>17</v>
      </c>
      <c r="G78" s="6">
        <f>(B78/100)*75</f>
        <v>64.5</v>
      </c>
      <c r="H78" s="7">
        <f>F78+G78</f>
        <v>81.5</v>
      </c>
    </row>
    <row r="79" spans="1:8" x14ac:dyDescent="0.2">
      <c r="A79" s="6">
        <v>1821610187</v>
      </c>
      <c r="B79" s="6">
        <v>7</v>
      </c>
      <c r="C79" s="6">
        <v>8</v>
      </c>
      <c r="D79" s="6">
        <v>2</v>
      </c>
      <c r="E79" s="6">
        <v>8</v>
      </c>
      <c r="F79" s="6">
        <f>(SUM(C79:E79)/25)*25</f>
        <v>18</v>
      </c>
      <c r="G79" s="6">
        <f>(B79/100)*75</f>
        <v>5.2500000000000009</v>
      </c>
      <c r="H79" s="7">
        <f>F79+G79</f>
        <v>23.25</v>
      </c>
    </row>
    <row r="80" spans="1:8" x14ac:dyDescent="0.2">
      <c r="A80" s="6">
        <v>1821610131</v>
      </c>
      <c r="B80" s="6">
        <v>10</v>
      </c>
      <c r="C80" s="6">
        <v>8</v>
      </c>
      <c r="D80" s="6">
        <v>1</v>
      </c>
      <c r="E80" s="6">
        <v>9</v>
      </c>
      <c r="F80" s="6">
        <f>(SUM(C80:E80)/25)*25</f>
        <v>18</v>
      </c>
      <c r="G80" s="6">
        <f>(B80/100)*75</f>
        <v>7.5</v>
      </c>
      <c r="H80" s="7">
        <f>F80+G80</f>
        <v>25.5</v>
      </c>
    </row>
    <row r="81" spans="1:8" x14ac:dyDescent="0.2">
      <c r="A81" s="6">
        <v>1821610110</v>
      </c>
      <c r="B81" s="6">
        <v>16</v>
      </c>
      <c r="C81" s="6">
        <v>9</v>
      </c>
      <c r="D81" s="6">
        <v>1</v>
      </c>
      <c r="E81" s="6">
        <v>8</v>
      </c>
      <c r="F81" s="6">
        <f>(SUM(C81:E81)/25)*25</f>
        <v>18</v>
      </c>
      <c r="G81" s="6">
        <f>(B81/100)*75</f>
        <v>12</v>
      </c>
      <c r="H81" s="7">
        <f>F81+G81</f>
        <v>30</v>
      </c>
    </row>
    <row r="82" spans="1:8" x14ac:dyDescent="0.2">
      <c r="A82" s="6">
        <v>1821610142</v>
      </c>
      <c r="B82" s="6">
        <v>34</v>
      </c>
      <c r="C82" s="6">
        <v>8</v>
      </c>
      <c r="D82" s="6">
        <v>2</v>
      </c>
      <c r="E82" s="6">
        <v>8</v>
      </c>
      <c r="F82" s="6">
        <f>(SUM(C82:E82)/25)*25</f>
        <v>18</v>
      </c>
      <c r="G82" s="6">
        <f>(B82/100)*75</f>
        <v>25.500000000000004</v>
      </c>
      <c r="H82" s="7">
        <f>F82+G82</f>
        <v>43.5</v>
      </c>
    </row>
    <row r="83" spans="1:8" x14ac:dyDescent="0.2">
      <c r="A83" s="6">
        <v>1821610177</v>
      </c>
      <c r="B83" s="6">
        <v>34</v>
      </c>
      <c r="C83" s="6">
        <v>7</v>
      </c>
      <c r="D83" s="6">
        <v>3</v>
      </c>
      <c r="E83" s="6">
        <v>8</v>
      </c>
      <c r="F83" s="6">
        <f>(SUM(C83:E83)/25)*25</f>
        <v>18</v>
      </c>
      <c r="G83" s="6">
        <f>(B83/100)*75</f>
        <v>25.500000000000004</v>
      </c>
      <c r="H83" s="7">
        <f>F83+G83</f>
        <v>43.5</v>
      </c>
    </row>
    <row r="84" spans="1:8" x14ac:dyDescent="0.2">
      <c r="A84" s="6">
        <v>1821610115</v>
      </c>
      <c r="B84" s="6">
        <v>38</v>
      </c>
      <c r="C84" s="6">
        <v>7</v>
      </c>
      <c r="D84" s="6">
        <v>4</v>
      </c>
      <c r="E84" s="6">
        <v>7</v>
      </c>
      <c r="F84" s="6">
        <f>(SUM(C84:E84)/25)*25</f>
        <v>18</v>
      </c>
      <c r="G84" s="6">
        <f>(B84/100)*75</f>
        <v>28.5</v>
      </c>
      <c r="H84" s="7">
        <f>F84+G84</f>
        <v>46.5</v>
      </c>
    </row>
    <row r="85" spans="1:8" x14ac:dyDescent="0.2">
      <c r="A85" s="6">
        <v>1821610156</v>
      </c>
      <c r="B85" s="6">
        <v>43</v>
      </c>
      <c r="C85" s="6">
        <v>8</v>
      </c>
      <c r="D85" s="6">
        <v>2</v>
      </c>
      <c r="E85" s="6">
        <v>8</v>
      </c>
      <c r="F85" s="6">
        <f>(SUM(C85:E85)/25)*25</f>
        <v>18</v>
      </c>
      <c r="G85" s="6">
        <f>(B85/100)*75</f>
        <v>32.25</v>
      </c>
      <c r="H85" s="7">
        <f>F85+G85</f>
        <v>50.25</v>
      </c>
    </row>
    <row r="86" spans="1:8" x14ac:dyDescent="0.2">
      <c r="A86" s="6">
        <v>1821610117</v>
      </c>
      <c r="B86" s="6">
        <v>53</v>
      </c>
      <c r="C86" s="6">
        <v>5</v>
      </c>
      <c r="D86" s="6">
        <v>4</v>
      </c>
      <c r="E86" s="6">
        <v>9</v>
      </c>
      <c r="F86" s="6">
        <f>(SUM(C86:E86)/25)*25</f>
        <v>18</v>
      </c>
      <c r="G86" s="6">
        <f>(B86/100)*75</f>
        <v>39.75</v>
      </c>
      <c r="H86" s="7">
        <f>F86+G86</f>
        <v>57.75</v>
      </c>
    </row>
    <row r="87" spans="1:8" x14ac:dyDescent="0.2">
      <c r="A87" s="6">
        <v>1821610185</v>
      </c>
      <c r="B87" s="6">
        <v>9</v>
      </c>
      <c r="C87" s="6">
        <v>8</v>
      </c>
      <c r="D87" s="6">
        <v>4</v>
      </c>
      <c r="E87" s="6">
        <v>7</v>
      </c>
      <c r="F87" s="6">
        <f>(SUM(C87:E87)/25)*25</f>
        <v>19</v>
      </c>
      <c r="G87" s="6">
        <f>(B87/100)*75</f>
        <v>6.75</v>
      </c>
      <c r="H87" s="7">
        <f>F87+G87</f>
        <v>25.75</v>
      </c>
    </row>
    <row r="88" spans="1:8" x14ac:dyDescent="0.2">
      <c r="A88" s="6">
        <v>1821610158</v>
      </c>
      <c r="B88" s="6">
        <v>23</v>
      </c>
      <c r="C88" s="6">
        <v>8</v>
      </c>
      <c r="D88" s="6">
        <v>1</v>
      </c>
      <c r="E88" s="6">
        <v>10</v>
      </c>
      <c r="F88" s="6">
        <f>(SUM(C88:E88)/25)*25</f>
        <v>19</v>
      </c>
      <c r="G88" s="6">
        <f>(B88/100)*75</f>
        <v>17.25</v>
      </c>
      <c r="H88" s="7">
        <f>F88+G88</f>
        <v>36.25</v>
      </c>
    </row>
    <row r="89" spans="1:8" x14ac:dyDescent="0.2">
      <c r="A89" s="6">
        <v>1821610176</v>
      </c>
      <c r="B89" s="6">
        <v>45</v>
      </c>
      <c r="C89" s="6">
        <v>9</v>
      </c>
      <c r="D89" s="6">
        <v>1</v>
      </c>
      <c r="E89" s="6">
        <v>9</v>
      </c>
      <c r="F89" s="6">
        <f>(SUM(C89:E89)/25)*25</f>
        <v>19</v>
      </c>
      <c r="G89" s="6">
        <f>(B89/100)*75</f>
        <v>33.75</v>
      </c>
      <c r="H89" s="7">
        <f>F89+G89</f>
        <v>52.75</v>
      </c>
    </row>
    <row r="90" spans="1:8" x14ac:dyDescent="0.2">
      <c r="A90" s="6">
        <v>1821610145</v>
      </c>
      <c r="B90" s="6">
        <v>64</v>
      </c>
      <c r="C90" s="6">
        <v>7</v>
      </c>
      <c r="D90" s="6">
        <v>5</v>
      </c>
      <c r="E90" s="6">
        <v>7</v>
      </c>
      <c r="F90" s="6">
        <f>(SUM(C90:E90)/25)*25</f>
        <v>19</v>
      </c>
      <c r="G90" s="6">
        <f>(B90/100)*75</f>
        <v>48</v>
      </c>
      <c r="H90" s="7">
        <f>F90+G90</f>
        <v>67</v>
      </c>
    </row>
    <row r="91" spans="1:8" x14ac:dyDescent="0.2">
      <c r="A91" s="6">
        <v>1821610195</v>
      </c>
      <c r="B91" s="6">
        <v>74</v>
      </c>
      <c r="C91" s="6">
        <v>7</v>
      </c>
      <c r="D91" s="6">
        <v>4</v>
      </c>
      <c r="E91" s="6">
        <v>8</v>
      </c>
      <c r="F91" s="6">
        <f>(SUM(C91:E91)/25)*25</f>
        <v>19</v>
      </c>
      <c r="G91" s="6">
        <f>(B91/100)*75</f>
        <v>55.5</v>
      </c>
      <c r="H91" s="7">
        <f>F91+G91</f>
        <v>74.5</v>
      </c>
    </row>
    <row r="92" spans="1:8" x14ac:dyDescent="0.2">
      <c r="A92" s="6">
        <v>1821610104</v>
      </c>
      <c r="B92" s="6">
        <v>98</v>
      </c>
      <c r="C92" s="6">
        <v>8</v>
      </c>
      <c r="D92" s="6">
        <v>4</v>
      </c>
      <c r="E92" s="6">
        <v>7</v>
      </c>
      <c r="F92" s="6">
        <f>(SUM(C92:E92)/25)*25</f>
        <v>19</v>
      </c>
      <c r="G92" s="6">
        <f>(B92/100)*75</f>
        <v>73.5</v>
      </c>
      <c r="H92" s="7">
        <f>F92+G92</f>
        <v>92.5</v>
      </c>
    </row>
    <row r="93" spans="1:8" x14ac:dyDescent="0.2">
      <c r="A93" s="6">
        <v>1821610160</v>
      </c>
      <c r="B93" s="6">
        <v>32</v>
      </c>
      <c r="C93" s="6">
        <v>6</v>
      </c>
      <c r="D93" s="6">
        <v>4</v>
      </c>
      <c r="E93" s="6">
        <v>10</v>
      </c>
      <c r="F93" s="6">
        <f>(SUM(C93:E93)/25)*25</f>
        <v>20</v>
      </c>
      <c r="G93" s="6">
        <f>(B93/100)*75</f>
        <v>24</v>
      </c>
      <c r="H93" s="7">
        <f>F93+G93</f>
        <v>44</v>
      </c>
    </row>
    <row r="94" spans="1:8" x14ac:dyDescent="0.2">
      <c r="A94" s="6">
        <v>1821610197</v>
      </c>
      <c r="B94" s="6">
        <v>43</v>
      </c>
      <c r="C94" s="6">
        <v>8</v>
      </c>
      <c r="D94" s="6">
        <v>4</v>
      </c>
      <c r="E94" s="6">
        <v>8</v>
      </c>
      <c r="F94" s="6">
        <f>(SUM(C94:E94)/25)*25</f>
        <v>20</v>
      </c>
      <c r="G94" s="6">
        <f>(B94/100)*75</f>
        <v>32.25</v>
      </c>
      <c r="H94" s="7">
        <f>F94+G94</f>
        <v>52.25</v>
      </c>
    </row>
    <row r="95" spans="1:8" x14ac:dyDescent="0.2">
      <c r="A95" s="6">
        <v>1821610155</v>
      </c>
      <c r="B95" s="6">
        <v>62</v>
      </c>
      <c r="C95" s="6">
        <v>9</v>
      </c>
      <c r="D95" s="6">
        <v>4</v>
      </c>
      <c r="E95" s="6">
        <v>7</v>
      </c>
      <c r="F95" s="6">
        <f>(SUM(C95:E95)/25)*25</f>
        <v>20</v>
      </c>
      <c r="G95" s="6">
        <f>(B95/100)*75</f>
        <v>46.5</v>
      </c>
      <c r="H95" s="7">
        <f>F95+G95</f>
        <v>66.5</v>
      </c>
    </row>
    <row r="96" spans="1:8" x14ac:dyDescent="0.2">
      <c r="A96" s="6">
        <v>1821610147</v>
      </c>
      <c r="B96" s="6">
        <v>65</v>
      </c>
      <c r="C96" s="6">
        <v>9</v>
      </c>
      <c r="D96" s="6">
        <v>5</v>
      </c>
      <c r="E96" s="6">
        <v>6</v>
      </c>
      <c r="F96" s="6">
        <f>(SUM(C96:E96)/25)*25</f>
        <v>20</v>
      </c>
      <c r="G96" s="6">
        <f>(B96/100)*75</f>
        <v>48.75</v>
      </c>
      <c r="H96" s="7">
        <f>F96+G96</f>
        <v>68.75</v>
      </c>
    </row>
    <row r="97" spans="1:8" x14ac:dyDescent="0.2">
      <c r="A97" s="6">
        <v>1821610146</v>
      </c>
      <c r="B97" s="6">
        <v>23</v>
      </c>
      <c r="C97" s="6">
        <v>8</v>
      </c>
      <c r="D97" s="6">
        <v>4</v>
      </c>
      <c r="E97" s="6">
        <v>9</v>
      </c>
      <c r="F97" s="6">
        <f>(SUM(C97:E97)/25)*25</f>
        <v>21</v>
      </c>
      <c r="G97" s="6">
        <f>(B97/100)*75</f>
        <v>17.25</v>
      </c>
      <c r="H97" s="7">
        <f>F97+G97</f>
        <v>38.25</v>
      </c>
    </row>
    <row r="98" spans="1:8" x14ac:dyDescent="0.2">
      <c r="A98" s="6">
        <v>1821610198</v>
      </c>
      <c r="B98" s="6">
        <v>64</v>
      </c>
      <c r="C98" s="6">
        <v>9</v>
      </c>
      <c r="D98" s="6">
        <v>5</v>
      </c>
      <c r="E98" s="6">
        <v>7</v>
      </c>
      <c r="F98" s="6">
        <f>(SUM(C98:E98)/25)*25</f>
        <v>21</v>
      </c>
      <c r="G98" s="6">
        <f>(B98/100)*75</f>
        <v>48</v>
      </c>
      <c r="H98" s="7">
        <f>F98+G98</f>
        <v>69</v>
      </c>
    </row>
    <row r="99" spans="1:8" x14ac:dyDescent="0.2">
      <c r="A99" s="6">
        <v>1821610118</v>
      </c>
      <c r="B99" s="6">
        <v>65</v>
      </c>
      <c r="C99" s="6">
        <v>8</v>
      </c>
      <c r="D99" s="6">
        <v>5</v>
      </c>
      <c r="E99" s="6">
        <v>8</v>
      </c>
      <c r="F99" s="6">
        <f>(SUM(C99:E99)/25)*25</f>
        <v>21</v>
      </c>
      <c r="G99" s="6">
        <f>(B99/100)*75</f>
        <v>48.75</v>
      </c>
      <c r="H99" s="7">
        <f>F99+G99</f>
        <v>69.75</v>
      </c>
    </row>
    <row r="100" spans="1:8" x14ac:dyDescent="0.2">
      <c r="A100" s="6">
        <v>1821610186</v>
      </c>
      <c r="B100" s="6">
        <v>5</v>
      </c>
      <c r="C100" s="6">
        <v>9</v>
      </c>
      <c r="D100" s="6">
        <v>5</v>
      </c>
      <c r="E100" s="6">
        <v>8</v>
      </c>
      <c r="F100" s="6">
        <f>(SUM(C100:E100)/25)*25</f>
        <v>22</v>
      </c>
      <c r="G100" s="6">
        <f>(B100/100)*75</f>
        <v>3.75</v>
      </c>
      <c r="H100" s="7">
        <f>F100+G100</f>
        <v>25.75</v>
      </c>
    </row>
    <row r="101" spans="1:8" x14ac:dyDescent="0.2">
      <c r="A101" s="6">
        <v>1821610196</v>
      </c>
      <c r="B101" s="6">
        <v>95</v>
      </c>
      <c r="C101" s="6">
        <v>9</v>
      </c>
      <c r="D101" s="6">
        <v>5</v>
      </c>
      <c r="E101" s="6">
        <v>9</v>
      </c>
      <c r="F101" s="6">
        <f>(SUM(C101:E101)/25)*25</f>
        <v>23</v>
      </c>
      <c r="G101" s="6">
        <f>(B101/100)*75</f>
        <v>71.25</v>
      </c>
      <c r="H101" s="7">
        <f>F101+G101</f>
        <v>94.25</v>
      </c>
    </row>
  </sheetData>
  <autoFilter ref="A1:H101" xr:uid="{E3B9A292-4BB4-41A0-9406-6FF108FCE195}">
    <sortState xmlns:xlrd2="http://schemas.microsoft.com/office/spreadsheetml/2017/richdata2" ref="A2:H101">
      <sortCondition ref="F1:F1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72C3-282A-4224-85E3-390EB6984E67}">
  <dimension ref="A1:D9"/>
  <sheetViews>
    <sheetView tabSelected="1" workbookViewId="0">
      <selection activeCell="E2" sqref="E2"/>
    </sheetView>
  </sheetViews>
  <sheetFormatPr defaultRowHeight="26.25" x14ac:dyDescent="0.2"/>
  <cols>
    <col min="1" max="16384" width="9" style="6"/>
  </cols>
  <sheetData>
    <row r="1" spans="1:4" ht="31.5" x14ac:dyDescent="0.2">
      <c r="A1" s="8" t="s">
        <v>24</v>
      </c>
    </row>
    <row r="2" spans="1:4" x14ac:dyDescent="0.2">
      <c r="A2" s="6" t="s">
        <v>25</v>
      </c>
      <c r="B2" s="6" t="s">
        <v>31</v>
      </c>
      <c r="C2" s="6" t="s">
        <v>32</v>
      </c>
      <c r="D2" s="6" t="s">
        <v>33</v>
      </c>
    </row>
    <row r="3" spans="1:4" x14ac:dyDescent="0.2">
      <c r="A3" s="9" t="s">
        <v>26</v>
      </c>
      <c r="B3" s="6">
        <v>0</v>
      </c>
      <c r="C3" s="6">
        <v>5</v>
      </c>
      <c r="D3" s="6">
        <f>COUNTIFS(Individual!$F$2:$F$101,"&gt;="&amp;Dash!B3,Individual!$F$2:$F$101,"&lt;="&amp;Dash!C3)</f>
        <v>0</v>
      </c>
    </row>
    <row r="4" spans="1:4" x14ac:dyDescent="0.2">
      <c r="A4" s="9" t="s">
        <v>27</v>
      </c>
      <c r="B4" s="6">
        <v>6</v>
      </c>
      <c r="C4" s="6">
        <v>10</v>
      </c>
      <c r="D4" s="6">
        <f>COUNTIFS(Individual!$F$2:$F$101,"&gt;="&amp;Dash!B4,Individual!$F$2:$F$101,"&lt;="&amp;Dash!C4)</f>
        <v>14</v>
      </c>
    </row>
    <row r="5" spans="1:4" x14ac:dyDescent="0.2">
      <c r="A5" s="9" t="s">
        <v>28</v>
      </c>
      <c r="B5" s="6">
        <v>11</v>
      </c>
      <c r="C5" s="6">
        <v>15</v>
      </c>
      <c r="D5" s="6">
        <f>COUNTIFS(Individual!$F$2:$F$101,"&gt;="&amp;Dash!B5,Individual!$F$2:$F$101,"&lt;="&amp;Dash!C5)</f>
        <v>41</v>
      </c>
    </row>
    <row r="6" spans="1:4" x14ac:dyDescent="0.2">
      <c r="A6" s="9" t="s">
        <v>29</v>
      </c>
      <c r="B6" s="6">
        <v>16</v>
      </c>
      <c r="C6" s="6">
        <v>20</v>
      </c>
      <c r="D6" s="6">
        <f>COUNTIFS(Individual!$F$2:$F$101,"&gt;="&amp;Dash!B6,Individual!$F$2:$F$101,"&lt;="&amp;Dash!C6)</f>
        <v>40</v>
      </c>
    </row>
    <row r="7" spans="1:4" x14ac:dyDescent="0.2">
      <c r="A7" s="9" t="s">
        <v>30</v>
      </c>
      <c r="B7" s="6">
        <v>21</v>
      </c>
      <c r="C7" s="6">
        <v>25</v>
      </c>
      <c r="D7" s="6">
        <f>COUNTIFS(Individual!$F$2:$F$101,"&gt;="&amp;Dash!B7,Individual!$F$2:$F$101,"&lt;="&amp;Dash!C7)</f>
        <v>5</v>
      </c>
    </row>
    <row r="8" spans="1:4" x14ac:dyDescent="0.2">
      <c r="A8" s="9"/>
    </row>
    <row r="9" spans="1:4" x14ac:dyDescent="0.2">
      <c r="A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Individual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nicolas Amurao</dc:creator>
  <cp:lastModifiedBy>Supanat Tia</cp:lastModifiedBy>
  <dcterms:created xsi:type="dcterms:W3CDTF">2020-01-10T03:34:14Z</dcterms:created>
  <dcterms:modified xsi:type="dcterms:W3CDTF">2024-12-12T07:57:22Z</dcterms:modified>
</cp:coreProperties>
</file>