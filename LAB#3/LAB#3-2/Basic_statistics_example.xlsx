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supan\Downloads\"/>
    </mc:Choice>
  </mc:AlternateContent>
  <xr:revisionPtr revIDLastSave="0" documentId="13_ncr:1_{DC84B507-44B7-41FA-A133-7B493B62AB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chart.v1.0" hidden="1">Sheet1!$C$12:$C$111</definedName>
    <definedName name="_xlchart.v1.1" hidden="1">Sheet1!$D$12:$D$111</definedName>
    <definedName name="_xlchart.v1.2" hidden="1">Sheet1!$E$12:$E$111</definedName>
    <definedName name="_xlchart.v1.3" hidden="1">Sheet1!$C$12:$C$111</definedName>
    <definedName name="_xlchart.v1.4" hidden="1">Sheet1!$B$11</definedName>
    <definedName name="_xlchart.v1.5" hidden="1">Sheet1!$B$12:$B$111</definedName>
    <definedName name="_xlchart.v1.6" hidden="1">Sheet1!$C$12:$C$111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7" i="1"/>
  <c r="J6" i="1"/>
  <c r="J5" i="1"/>
  <c r="G8" i="1"/>
  <c r="G7" i="1"/>
  <c r="G6" i="1"/>
  <c r="G5" i="1"/>
  <c r="F8" i="1"/>
  <c r="F7" i="1"/>
  <c r="F6" i="1"/>
  <c r="F5" i="1"/>
  <c r="I5" i="1"/>
  <c r="H5" i="1"/>
  <c r="C5" i="1"/>
  <c r="D5" i="1"/>
  <c r="E5" i="1"/>
  <c r="I8" i="1"/>
  <c r="I7" i="1"/>
  <c r="I6" i="1"/>
  <c r="H8" i="1"/>
  <c r="H7" i="1"/>
  <c r="H6" i="1"/>
  <c r="E8" i="1"/>
  <c r="E7" i="1"/>
  <c r="E6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D8" i="1"/>
  <c r="D7" i="1"/>
  <c r="D6" i="1"/>
  <c r="C8" i="1"/>
  <c r="C7" i="1"/>
  <c r="C6" i="1"/>
</calcChain>
</file>

<file path=xl/sharedStrings.xml><?xml version="1.0" encoding="utf-8"?>
<sst xmlns="http://schemas.openxmlformats.org/spreadsheetml/2006/main" count="19" uniqueCount="19">
  <si>
    <t>Sum</t>
  </si>
  <si>
    <t>Max. Value</t>
  </si>
  <si>
    <t>Min. Value</t>
  </si>
  <si>
    <t>Average</t>
  </si>
  <si>
    <t>Standard Dev.</t>
  </si>
  <si>
    <t>Variance</t>
  </si>
  <si>
    <t>Assignment / 10</t>
  </si>
  <si>
    <t>Attendance / 5</t>
  </si>
  <si>
    <t>Student ID</t>
  </si>
  <si>
    <t>Project / 10</t>
  </si>
  <si>
    <t>Area</t>
  </si>
  <si>
    <t>Test</t>
  </si>
  <si>
    <t>Assignment</t>
  </si>
  <si>
    <t>Attendance</t>
  </si>
  <si>
    <t>Project</t>
  </si>
  <si>
    <t>score / 100</t>
  </si>
  <si>
    <t>MEDIAN</t>
  </si>
  <si>
    <t>MODE</t>
  </si>
  <si>
    <t>&gt;50%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</si>
</sst>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8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3" borderId="1" xfId="0" applyFont="1" applyFill="1" applyBorder="1"/>
    <xf numFmtId="0" fontId="0" fillId="4" borderId="1" xfId="0" applyFill="1" applyBorder="1"/>
    <xf numFmtId="2" fontId="0" fillId="0" borderId="0" xfId="0" applyNumberFormat="1"/>
  </cellXfs>
  <cellStyles count="1">
    <cellStyle name="ปกติ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</a:t>
            </a:r>
            <a:r>
              <a:rPr lang="en-US" baseline="0"/>
              <a:t>record of Mathematics subject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7.7712773270782007E-2"/>
          <c:y val="5.5656500062149991E-2"/>
          <c:w val="0.92228722672921803"/>
          <c:h val="0.72063507367491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Test</c:v>
                </c:pt>
                <c:pt idx="1">
                  <c:v>Assignment</c:v>
                </c:pt>
                <c:pt idx="2">
                  <c:v>Attendance</c:v>
                </c:pt>
                <c:pt idx="3">
                  <c:v>Project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3457-43FC-8C93-1F5DDB035A79}"/>
            </c:ext>
          </c:extLst>
        </c:ser>
        <c:ser>
          <c:idx val="1"/>
          <c:order val="1"/>
          <c:tx>
            <c:strRef>
              <c:f>Sheet1!$C$4</c:f>
              <c:strCache>
                <c:ptCount val="1"/>
                <c:pt idx="0">
                  <c:v>Max.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Test</c:v>
                </c:pt>
                <c:pt idx="1">
                  <c:v>Assignment</c:v>
                </c:pt>
                <c:pt idx="2">
                  <c:v>Attendance</c:v>
                </c:pt>
                <c:pt idx="3">
                  <c:v>Project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4"/>
                <c:pt idx="0">
                  <c:v>100</c:v>
                </c:pt>
                <c:pt idx="1">
                  <c:v>9</c:v>
                </c:pt>
                <c:pt idx="2">
                  <c:v>5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7-43FC-8C93-1F5DDB035A79}"/>
            </c:ext>
          </c:extLst>
        </c:ser>
        <c:ser>
          <c:idx val="2"/>
          <c:order val="2"/>
          <c:tx>
            <c:strRef>
              <c:f>Sheet1!$D$4</c:f>
              <c:strCache>
                <c:ptCount val="1"/>
                <c:pt idx="0">
                  <c:v>Min. 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Test</c:v>
                </c:pt>
                <c:pt idx="1">
                  <c:v>Assignment</c:v>
                </c:pt>
                <c:pt idx="2">
                  <c:v>Attendance</c:v>
                </c:pt>
                <c:pt idx="3">
                  <c:v>Project</c:v>
                </c:pt>
              </c:strCache>
            </c:strRef>
          </c:cat>
          <c:val>
            <c:numRef>
              <c:f>Sheet1!$D$5:$D$8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57-43FC-8C93-1F5DDB035A79}"/>
            </c:ext>
          </c:extLst>
        </c:ser>
        <c:ser>
          <c:idx val="3"/>
          <c:order val="3"/>
          <c:tx>
            <c:strRef>
              <c:f>Sheet1!$E$4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Test</c:v>
                </c:pt>
                <c:pt idx="1">
                  <c:v>Assignment</c:v>
                </c:pt>
                <c:pt idx="2">
                  <c:v>Attendance</c:v>
                </c:pt>
                <c:pt idx="3">
                  <c:v>Project</c:v>
                </c:pt>
              </c:strCache>
            </c:strRef>
          </c:cat>
          <c:val>
            <c:numRef>
              <c:f>Sheet1!$E$5:$E$8</c:f>
              <c:numCache>
                <c:formatCode>0.00</c:formatCode>
                <c:ptCount val="4"/>
                <c:pt idx="0">
                  <c:v>46.9</c:v>
                </c:pt>
                <c:pt idx="1">
                  <c:v>5.33</c:v>
                </c:pt>
                <c:pt idx="2">
                  <c:v>3.1</c:v>
                </c:pt>
                <c:pt idx="3">
                  <c:v>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57-43FC-8C93-1F5DDB035A79}"/>
            </c:ext>
          </c:extLst>
        </c:ser>
        <c:ser>
          <c:idx val="4"/>
          <c:order val="4"/>
          <c:tx>
            <c:strRef>
              <c:f>Sheet1!$H$4</c:f>
              <c:strCache>
                <c:ptCount val="1"/>
                <c:pt idx="0">
                  <c:v>Standard Dev.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Test</c:v>
                </c:pt>
                <c:pt idx="1">
                  <c:v>Assignment</c:v>
                </c:pt>
                <c:pt idx="2">
                  <c:v>Attendance</c:v>
                </c:pt>
                <c:pt idx="3">
                  <c:v>Project</c:v>
                </c:pt>
              </c:strCache>
            </c:strRef>
          </c:cat>
          <c:val>
            <c:numRef>
              <c:f>Sheet1!$H$5:$H$8</c:f>
              <c:numCache>
                <c:formatCode>0.00</c:formatCode>
                <c:ptCount val="4"/>
                <c:pt idx="0">
                  <c:v>25.985572920372565</c:v>
                </c:pt>
                <c:pt idx="1">
                  <c:v>2.3197198106667969</c:v>
                </c:pt>
                <c:pt idx="2">
                  <c:v>1.4933184523068079</c:v>
                </c:pt>
                <c:pt idx="3">
                  <c:v>2.2202702538204666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57-43FC-8C93-1F5DDB035A79}"/>
            </c:ext>
          </c:extLst>
        </c:ser>
        <c:ser>
          <c:idx val="5"/>
          <c:order val="5"/>
          <c:tx>
            <c:strRef>
              <c:f>Sheet1!$I$4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4"/>
                <c:pt idx="0">
                  <c:v>Test</c:v>
                </c:pt>
                <c:pt idx="1">
                  <c:v>Assignment</c:v>
                </c:pt>
                <c:pt idx="2">
                  <c:v>Attendance</c:v>
                </c:pt>
                <c:pt idx="3">
                  <c:v>Project</c:v>
                </c:pt>
              </c:strCache>
            </c:strRef>
          </c:cat>
          <c:val>
            <c:numRef>
              <c:f>Sheet1!$I$5:$I$8</c:f>
              <c:numCache>
                <c:formatCode>0.00</c:formatCode>
                <c:ptCount val="4"/>
                <c:pt idx="0">
                  <c:v>682.07070707070704</c:v>
                </c:pt>
                <c:pt idx="1">
                  <c:v>5.4343434343434343</c:v>
                </c:pt>
                <c:pt idx="2">
                  <c:v>2.23</c:v>
                </c:pt>
                <c:pt idx="3">
                  <c:v>4.9295999999999998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57-43FC-8C93-1F5DDB035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729632"/>
        <c:axId val="235722976"/>
      </c:barChart>
      <c:catAx>
        <c:axId val="23572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5722976"/>
        <c:crosses val="autoZero"/>
        <c:auto val="1"/>
        <c:lblAlgn val="ctr"/>
        <c:lblOffset val="100"/>
        <c:noMultiLvlLbl val="0"/>
      </c:catAx>
      <c:valAx>
        <c:axId val="23572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Range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357296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Test scores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Test scores</a:t>
          </a:r>
        </a:p>
      </cx:txPr>
    </cx:title>
    <cx:plotArea>
      <cx:plotAreaRegion>
        <cx:series layoutId="clusteredColumn" uniqueId="{3CE4726D-FA9C-446B-BB8F-31EF2E0D33C9}">
          <cx:tx>
            <cx:txData>
              <cx:f>_xlchart.v1.4</cx:f>
              <cx:v>score / 100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Score range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Score range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No. of Students</a:t>
                </a:r>
              </a:p>
              <a:p>
                <a:pPr algn="ctr">
                  <a:defRPr/>
                </a:pPr>
                <a:endParaRPr lang="en-US"/>
              </a:p>
            </cx:rich>
          </cx:tx>
        </cx:title>
        <cx:majorGridlines/>
        <cx:tickLabels/>
      </cx:axis>
    </cx:plotArea>
    <cx:legend pos="t" align="ctr" overlay="0"/>
  </cx:chart>
  <cx:clrMapOvr bg1="lt1" tx1="dk1" bg2="lt2" tx2="dk2" accent1="accent1" accent2="accent2" accent3="accent3" accent4="accent4" accent5="accent5" accent6="accent6" hlink="hlink" folHlink="folHlink"/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Assignment score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Assignment score</a:t>
          </a:r>
        </a:p>
      </cx:txPr>
    </cx:title>
    <cx:plotArea>
      <cx:plotAreaRegion>
        <cx:series layoutId="clusteredColumn" uniqueId="{5CFD1F93-6DA6-4895-B858-86D6BED49A10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Range of assignment scores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Range of assignment scores</a:t>
              </a: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No. of Students</a:t>
                </a:r>
              </a:p>
              <a:p>
                <a:pPr algn="ctr">
                  <a:defRPr/>
                </a:pPr>
                <a:endParaRPr lang="en-US"/>
              </a:p>
            </cx:rich>
          </cx:tx>
        </cx:title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Attendance score</a:t>
            </a:r>
          </a:p>
          <a:p>
            <a:pPr algn="ctr">
              <a:defRPr/>
            </a:pPr>
            <a:endParaRPr lang="en-US"/>
          </a:p>
        </cx:rich>
      </cx:tx>
    </cx:title>
    <cx:plotArea>
      <cx:plotAreaRegion>
        <cx:series layoutId="clusteredColumn" uniqueId="{5EA71D4C-6476-4DD0-8D3D-ABEEFB90254C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/>
                </a:pPr>
                <a:r>
                  <a:rPr lang="en-US"/>
                  <a:t>Range of score</a:t>
                </a:r>
              </a:p>
              <a:p>
                <a:pPr algn="ctr">
                  <a:defRPr/>
                </a:pPr>
                <a:endParaRPr lang="en-US"/>
              </a:p>
            </cx:rich>
          </cx:tx>
        </cx:title>
        <cx:tickLabels/>
      </cx:axis>
      <cx:axis id="1">
        <cx:valScaling/>
        <cx:title>
          <cx:tx>
            <cx:txData>
              <cx:v>No. of Students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No. of Students</a:t>
              </a:r>
            </a:p>
          </cx:txPr>
        </cx:title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Project score</cx:v>
        </cx:txData>
      </cx:tx>
      <cx:txPr>
        <a:bodyPr spcFirstLastPara="1" vertOverflow="ellipsis" wrap="square" lIns="0" tIns="0" rIns="0" bIns="0" anchor="ctr" anchorCtr="1"/>
        <a:lstStyle/>
        <a:p>
          <a:pPr algn="ctr">
            <a:defRPr/>
          </a:pPr>
          <a:r>
            <a:rPr lang="en-US"/>
            <a:t>Project score</a:t>
          </a:r>
        </a:p>
      </cx:txPr>
    </cx:title>
    <cx:plotArea>
      <cx:plotAreaRegion>
        <cx:series layoutId="clusteredColumn" uniqueId="{204BD796-6CC8-46ED-9084-018DA09913A3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Range of scores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Range of scores</a:t>
              </a:r>
            </a:p>
          </cx:txPr>
        </cx:title>
        <cx:tickLabels/>
      </cx:axis>
      <cx:axis id="1">
        <cx:valScaling/>
        <cx:title>
          <cx:tx>
            <cx:txData>
              <cx:v>No. of students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No. of students</a:t>
              </a:r>
            </a:p>
          </cx:txPr>
        </cx:title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openxmlformats.org/officeDocument/2006/relationships/chart" Target="../charts/chart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154781</xdr:colOff>
      <xdr:row>13</xdr:row>
      <xdr:rowOff>23812</xdr:rowOff>
    </xdr:from>
    <xdr:to>
      <xdr:col>18</xdr:col>
      <xdr:colOff>511969</xdr:colOff>
      <xdr:row>36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55931" y="2376487"/>
              <a:ext cx="8824913" cy="42814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แผนภูมินี้ยังไม่พร้อมใช้งานใน Excel เวอร์ชันของคุณ
การแก้ไขรูปร่างนี้หรือการบันทึกเวิร์กบุ๊กนี้เป็นรูปแบบไฟล์อื่นจะทำลายแผนภูมิอย่างถาวร</a:t>
              </a:r>
            </a:p>
          </xdr:txBody>
        </xdr:sp>
      </mc:Fallback>
    </mc:AlternateContent>
    <xdr:clientData/>
  </xdr:twoCellAnchor>
  <xdr:twoCellAnchor>
    <xdr:from>
      <xdr:col>7</xdr:col>
      <xdr:colOff>204108</xdr:colOff>
      <xdr:row>38</xdr:row>
      <xdr:rowOff>163287</xdr:rowOff>
    </xdr:from>
    <xdr:to>
      <xdr:col>18</xdr:col>
      <xdr:colOff>571500</xdr:colOff>
      <xdr:row>65</xdr:row>
      <xdr:rowOff>40821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05258" y="7040337"/>
              <a:ext cx="8835117" cy="47638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แผนภูมินี้ยังไม่พร้อมใช้งานใน Excel เวอร์ชันของคุณ
การแก้ไขรูปร่างนี้หรือการบันทึกเวิร์กบุ๊กนี้เป็นรูปแบบไฟล์อื่นจะทำลายแผนภูมิอย่างถาวร</a:t>
              </a:r>
            </a:p>
          </xdr:txBody>
        </xdr:sp>
      </mc:Fallback>
    </mc:AlternateContent>
    <xdr:clientData/>
  </xdr:twoCellAnchor>
  <xdr:twoCellAnchor>
    <xdr:from>
      <xdr:col>20</xdr:col>
      <xdr:colOff>251112</xdr:colOff>
      <xdr:row>17</xdr:row>
      <xdr:rowOff>100446</xdr:rowOff>
    </xdr:from>
    <xdr:to>
      <xdr:col>31</xdr:col>
      <xdr:colOff>242454</xdr:colOff>
      <xdr:row>43</xdr:row>
      <xdr:rowOff>155864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91587" y="3177021"/>
              <a:ext cx="7535142" cy="47607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แผนภูมินี้ยังไม่พร้อมใช้งานใน Excel เวอร์ชันของคุณ
การแก้ไขรูปร่างนี้หรือการบันทึกเวิร์กบุ๊กนี้เป็นรูปแบบไฟล์อื่นจะทำลายแผนภูมิอย่างถาวร</a:t>
              </a:r>
            </a:p>
          </xdr:txBody>
        </xdr:sp>
      </mc:Fallback>
    </mc:AlternateContent>
    <xdr:clientData/>
  </xdr:twoCellAnchor>
  <xdr:twoCellAnchor>
    <xdr:from>
      <xdr:col>22</xdr:col>
      <xdr:colOff>33130</xdr:colOff>
      <xdr:row>45</xdr:row>
      <xdr:rowOff>107674</xdr:rowOff>
    </xdr:from>
    <xdr:to>
      <xdr:col>31</xdr:col>
      <xdr:colOff>8658</xdr:colOff>
      <xdr:row>63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45205" y="8251549"/>
              <a:ext cx="6147728" cy="31879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แผนภูมินี้ยังไม่พร้อมใช้งานใน Excel เวอร์ชันของคุณ
การแก้ไขรูปร่างนี้หรือการบันทึกเวิร์กบุ๊กนี้เป็นรูปแบบไฟล์อื่นจะทำลายแผนภูมิอย่างถาวร</a:t>
              </a:r>
            </a:p>
          </xdr:txBody>
        </xdr:sp>
      </mc:Fallback>
    </mc:AlternateContent>
    <xdr:clientData/>
  </xdr:twoCellAnchor>
  <xdr:twoCellAnchor>
    <xdr:from>
      <xdr:col>7</xdr:col>
      <xdr:colOff>629019</xdr:colOff>
      <xdr:row>67</xdr:row>
      <xdr:rowOff>178377</xdr:rowOff>
    </xdr:from>
    <xdr:to>
      <xdr:col>27</xdr:col>
      <xdr:colOff>190500</xdr:colOff>
      <xdr:row>112</xdr:row>
      <xdr:rowOff>69273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1:E111" totalsRowShown="0" headerRowDxfId="7">
  <autoFilter ref="A11:E111" xr:uid="{00000000-0009-0000-0100-000001000000}"/>
  <tableColumns count="5">
    <tableColumn id="1" xr3:uid="{00000000-0010-0000-0000-000001000000}" name="Student ID"/>
    <tableColumn id="2" xr3:uid="{00000000-0010-0000-0000-000002000000}" name="score / 100" dataDxfId="6"/>
    <tableColumn id="3" xr3:uid="{00000000-0010-0000-0000-000003000000}" name="Assignment / 10" dataDxfId="5"/>
    <tableColumn id="4" xr3:uid="{00000000-0010-0000-0000-000004000000}" name="Attendance / 5" dataDxfId="4"/>
    <tableColumn id="5" xr3:uid="{00000000-0010-0000-0000-000005000000}" name="Project / 10" dataDxfId="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4:J9" totalsRowShown="0">
  <autoFilter ref="B4:J9" xr:uid="{00000000-0009-0000-0100-000002000000}"/>
  <tableColumns count="9">
    <tableColumn id="1" xr3:uid="{00000000-0010-0000-0100-000001000000}" name="Sum" dataDxfId="2">
      <calculatedColumnFormula>SUM(B12:B111)</calculatedColumnFormula>
    </tableColumn>
    <tableColumn id="2" xr3:uid="{00000000-0010-0000-0100-000002000000}" name="Max. Value">
      <calculatedColumnFormula>MAX(B12:B111)</calculatedColumnFormula>
    </tableColumn>
    <tableColumn id="3" xr3:uid="{00000000-0010-0000-0100-000003000000}" name="Min. Value">
      <calculatedColumnFormula>MIN(B12:B111)</calculatedColumnFormula>
    </tableColumn>
    <tableColumn id="4" xr3:uid="{00000000-0010-0000-0100-000004000000}" name="Average">
      <calculatedColumnFormula>AVERAGE(B12:B111)</calculatedColumnFormula>
    </tableColumn>
    <tableColumn id="8" xr3:uid="{2888F6C2-F542-46CB-9B6C-00610C476B09}" name="MEDIAN" dataDxfId="1">
      <calculatedColumnFormula>MEDIAN(B12:B111)</calculatedColumnFormula>
    </tableColumn>
    <tableColumn id="9" xr3:uid="{90987AE8-58DC-4EF6-8158-3A133C924432}" name="MODE"/>
    <tableColumn id="5" xr3:uid="{00000000-0010-0000-0100-000005000000}" name="Standard Dev.">
      <calculatedColumnFormula>STDEV(B12:B111)</calculatedColumnFormula>
    </tableColumn>
    <tableColumn id="6" xr3:uid="{00000000-0010-0000-0100-000006000000}" name="Variance">
      <calculatedColumnFormula>_xlfn.VAR.P(B12:B111)</calculatedColumnFormula>
    </tableColumn>
    <tableColumn id="7" xr3:uid="{763926C3-6A30-4B63-8902-DDAAA6F7588E}" name="&gt;50%" dataDxfId="0">
      <calculatedColumnFormula>COUNTIF(Table1[score / 100], "&gt;50")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111"/>
  <sheetViews>
    <sheetView tabSelected="1" zoomScale="129" zoomScaleNormal="100" workbookViewId="0">
      <selection activeCell="C8" sqref="C8"/>
    </sheetView>
  </sheetViews>
  <sheetFormatPr defaultRowHeight="14.25" x14ac:dyDescent="0.2"/>
  <cols>
    <col min="1" max="1" width="14.5" customWidth="1"/>
    <col min="2" max="2" width="15" customWidth="1"/>
    <col min="3" max="3" width="19.125" customWidth="1"/>
    <col min="4" max="4" width="18.875" customWidth="1"/>
    <col min="5" max="5" width="13.875" customWidth="1"/>
    <col min="6" max="6" width="18.875" customWidth="1"/>
    <col min="7" max="7" width="20.5" customWidth="1"/>
    <col min="8" max="8" width="16.5" customWidth="1"/>
    <col min="9" max="9" width="13.625" customWidth="1"/>
  </cols>
  <sheetData>
    <row r="4" spans="1:10" x14ac:dyDescent="0.2">
      <c r="A4" s="4" t="s">
        <v>10</v>
      </c>
      <c r="B4" t="s">
        <v>0</v>
      </c>
      <c r="C4" t="s">
        <v>1</v>
      </c>
      <c r="D4" t="s">
        <v>2</v>
      </c>
      <c r="E4" t="s">
        <v>3</v>
      </c>
      <c r="F4" t="s">
        <v>16</v>
      </c>
      <c r="G4" t="s">
        <v>17</v>
      </c>
      <c r="H4" t="s">
        <v>4</v>
      </c>
      <c r="I4" t="s">
        <v>5</v>
      </c>
      <c r="J4" t="s">
        <v>18</v>
      </c>
    </row>
    <row r="5" spans="1:10" x14ac:dyDescent="0.2">
      <c r="A5" s="5" t="s">
        <v>11</v>
      </c>
      <c r="C5">
        <f>MAX(B12:B111)</f>
        <v>100</v>
      </c>
      <c r="D5">
        <f>MIN(B12:B111)</f>
        <v>0</v>
      </c>
      <c r="E5" s="6">
        <f>AVERAGE(B12:B111)</f>
        <v>46.9</v>
      </c>
      <c r="F5" s="6">
        <f>MEDIAN($B$12:$B$111)</f>
        <v>44</v>
      </c>
      <c r="G5" s="6">
        <f>MODE($B$12:$B$111)</f>
        <v>23</v>
      </c>
      <c r="H5" s="6">
        <f>_xlfn.STDEV.P(Table1[score / 100])</f>
        <v>25.985572920372565</v>
      </c>
      <c r="I5" s="6">
        <f>VAR(Table1[score / 100])</f>
        <v>682.07070707070704</v>
      </c>
      <c r="J5">
        <f>COUNTIF(Table1[score / 100], "&gt;50")</f>
        <v>43</v>
      </c>
    </row>
    <row r="6" spans="1:10" x14ac:dyDescent="0.2">
      <c r="A6" s="5" t="s">
        <v>12</v>
      </c>
      <c r="C6">
        <f>MAX(Table1[Assignment / 10])</f>
        <v>9</v>
      </c>
      <c r="D6">
        <f>MIN(Table1[Assignment / 10])</f>
        <v>1</v>
      </c>
      <c r="E6" s="6">
        <f>AVERAGE(Table1[Assignment / 10])</f>
        <v>5.33</v>
      </c>
      <c r="F6" s="6">
        <f>MEDIAN($C$12:$C$111)</f>
        <v>5</v>
      </c>
      <c r="G6" s="6">
        <f>MODE($C$12:$C$111)</f>
        <v>5</v>
      </c>
      <c r="H6" s="6">
        <f>_xlfn.STDEV.P(Table1[Assignment / 10])</f>
        <v>2.3197198106667969</v>
      </c>
      <c r="I6" s="6">
        <f>_xlfn.VAR.P(C12:C110)</f>
        <v>5.4343434343434343</v>
      </c>
      <c r="J6">
        <f>COUNTIF(Table1[Assignment / 10], "&gt;5")</f>
        <v>47</v>
      </c>
    </row>
    <row r="7" spans="1:10" x14ac:dyDescent="0.2">
      <c r="A7" s="5" t="s">
        <v>13</v>
      </c>
      <c r="C7">
        <f>MAX(Table1[Attendance / 5])</f>
        <v>5</v>
      </c>
      <c r="D7">
        <f>MIN(Table1[Attendance / 5])</f>
        <v>0</v>
      </c>
      <c r="E7" s="6">
        <f>AVERAGE(Table1[Attendance / 5])</f>
        <v>3.1</v>
      </c>
      <c r="F7" s="6">
        <f>MEDIAN($D$12:$D$111)</f>
        <v>3</v>
      </c>
      <c r="G7" s="6">
        <f>MODE($D$12:$D$111)</f>
        <v>5</v>
      </c>
      <c r="H7" s="6">
        <f>_xlfn.STDEV.P(Table1[Attendance / 5])</f>
        <v>1.4933184523068079</v>
      </c>
      <c r="I7" s="6">
        <f>_xlfn.VAR.P(Table1[Attendance / 5])</f>
        <v>2.23</v>
      </c>
      <c r="J7">
        <f>COUNTIF(Table1[Attendance / 5], "&gt;2.5")</f>
        <v>60</v>
      </c>
    </row>
    <row r="8" spans="1:10" x14ac:dyDescent="0.2">
      <c r="A8" s="5" t="s">
        <v>14</v>
      </c>
      <c r="C8">
        <f>MAX(Table1[Project / 10])</f>
        <v>10</v>
      </c>
      <c r="D8">
        <f>MIN(Table1[Project / 10])</f>
        <v>1</v>
      </c>
      <c r="E8" s="6">
        <f>AVERAGE(Table1[Project / 10])</f>
        <v>6.48</v>
      </c>
      <c r="F8" s="6">
        <f>MEDIAN($E$12:$E$111)</f>
        <v>7</v>
      </c>
      <c r="G8" s="6">
        <f>MODE($E$12:$E$111)</f>
        <v>8</v>
      </c>
      <c r="H8" s="6">
        <f>_xlfn.STDEV.P(Table1[Project / 10])</f>
        <v>2.2202702538204666</v>
      </c>
      <c r="I8" s="6">
        <f>_xlfn.VAR.P(Table1[Project / 10])</f>
        <v>4.9295999999999998</v>
      </c>
      <c r="J8">
        <f>COUNTIF(Table1[Project / 10], "&gt;5")</f>
        <v>69</v>
      </c>
    </row>
    <row r="9" spans="1:10" x14ac:dyDescent="0.2">
      <c r="A9" s="5"/>
    </row>
    <row r="11" spans="1:10" x14ac:dyDescent="0.2">
      <c r="A11" s="2" t="s">
        <v>8</v>
      </c>
      <c r="B11" s="3" t="s">
        <v>15</v>
      </c>
      <c r="C11" s="2" t="s">
        <v>6</v>
      </c>
      <c r="D11" s="2" t="s">
        <v>7</v>
      </c>
      <c r="E11" s="2" t="s">
        <v>9</v>
      </c>
    </row>
    <row r="12" spans="1:10" x14ac:dyDescent="0.2">
      <c r="A12" s="1">
        <v>1821610100</v>
      </c>
      <c r="B12" s="1">
        <v>27</v>
      </c>
      <c r="C12" s="1">
        <v>1</v>
      </c>
      <c r="D12" s="1">
        <v>2</v>
      </c>
      <c r="E12" s="1">
        <v>8</v>
      </c>
    </row>
    <row r="13" spans="1:10" x14ac:dyDescent="0.2">
      <c r="A13" s="1">
        <f>SUM(A12+1)</f>
        <v>1821610101</v>
      </c>
      <c r="B13" s="1">
        <v>99</v>
      </c>
      <c r="C13" s="1">
        <v>2</v>
      </c>
      <c r="D13" s="1">
        <v>4</v>
      </c>
      <c r="E13" s="1">
        <v>4</v>
      </c>
    </row>
    <row r="14" spans="1:10" x14ac:dyDescent="0.2">
      <c r="A14" s="1">
        <f t="shared" ref="A14:A77" si="0">SUM(A13+1)</f>
        <v>1821610102</v>
      </c>
      <c r="B14" s="1">
        <v>97</v>
      </c>
      <c r="C14" s="1">
        <v>6</v>
      </c>
      <c r="D14" s="1">
        <v>3</v>
      </c>
      <c r="E14" s="1">
        <v>2</v>
      </c>
    </row>
    <row r="15" spans="1:10" x14ac:dyDescent="0.2">
      <c r="A15" s="1">
        <f t="shared" si="0"/>
        <v>1821610103</v>
      </c>
      <c r="B15" s="1">
        <v>100</v>
      </c>
      <c r="C15" s="1">
        <v>4</v>
      </c>
      <c r="D15" s="1">
        <v>1</v>
      </c>
      <c r="E15" s="1">
        <v>4</v>
      </c>
    </row>
    <row r="16" spans="1:10" x14ac:dyDescent="0.2">
      <c r="A16" s="1">
        <f t="shared" si="0"/>
        <v>1821610104</v>
      </c>
      <c r="B16" s="1">
        <v>98</v>
      </c>
      <c r="C16" s="1">
        <v>8</v>
      </c>
      <c r="D16" s="1">
        <v>4</v>
      </c>
      <c r="E16" s="1">
        <v>7</v>
      </c>
    </row>
    <row r="17" spans="1:5" x14ac:dyDescent="0.2">
      <c r="A17" s="1">
        <f t="shared" si="0"/>
        <v>1821610105</v>
      </c>
      <c r="B17" s="1">
        <v>65</v>
      </c>
      <c r="C17" s="1">
        <v>4</v>
      </c>
      <c r="D17" s="1">
        <v>2</v>
      </c>
      <c r="E17" s="1">
        <v>9</v>
      </c>
    </row>
    <row r="18" spans="1:5" x14ac:dyDescent="0.2">
      <c r="A18" s="1">
        <f t="shared" si="0"/>
        <v>1821610106</v>
      </c>
      <c r="B18" s="1">
        <v>45</v>
      </c>
      <c r="C18" s="1">
        <v>6</v>
      </c>
      <c r="D18" s="1">
        <v>3</v>
      </c>
      <c r="E18" s="1">
        <v>6</v>
      </c>
    </row>
    <row r="19" spans="1:5" x14ac:dyDescent="0.2">
      <c r="A19" s="1">
        <f t="shared" si="0"/>
        <v>1821610107</v>
      </c>
      <c r="B19" s="1">
        <v>54</v>
      </c>
      <c r="C19" s="1">
        <v>5</v>
      </c>
      <c r="D19" s="1">
        <v>1</v>
      </c>
      <c r="E19" s="1">
        <v>3</v>
      </c>
    </row>
    <row r="20" spans="1:5" x14ac:dyDescent="0.2">
      <c r="A20" s="1">
        <f t="shared" si="0"/>
        <v>1821610108</v>
      </c>
      <c r="B20" s="1">
        <v>76</v>
      </c>
      <c r="C20" s="1">
        <v>1</v>
      </c>
      <c r="D20" s="1">
        <v>2</v>
      </c>
      <c r="E20" s="1">
        <v>5</v>
      </c>
    </row>
    <row r="21" spans="1:5" x14ac:dyDescent="0.2">
      <c r="A21" s="1">
        <f t="shared" si="0"/>
        <v>1821610109</v>
      </c>
      <c r="B21" s="1">
        <v>23</v>
      </c>
      <c r="C21" s="1">
        <v>7</v>
      </c>
      <c r="D21" s="1">
        <v>4</v>
      </c>
      <c r="E21" s="1">
        <v>4</v>
      </c>
    </row>
    <row r="22" spans="1:5" x14ac:dyDescent="0.2">
      <c r="A22" s="1">
        <f t="shared" si="0"/>
        <v>1821610110</v>
      </c>
      <c r="B22" s="1">
        <v>16</v>
      </c>
      <c r="C22" s="1">
        <v>9</v>
      </c>
      <c r="D22" s="1">
        <v>1</v>
      </c>
      <c r="E22" s="1">
        <v>8</v>
      </c>
    </row>
    <row r="23" spans="1:5" x14ac:dyDescent="0.2">
      <c r="A23" s="1">
        <f t="shared" si="0"/>
        <v>1821610111</v>
      </c>
      <c r="B23" s="1">
        <v>3</v>
      </c>
      <c r="C23" s="1">
        <v>6</v>
      </c>
      <c r="D23" s="1">
        <v>2</v>
      </c>
      <c r="E23" s="1">
        <v>7</v>
      </c>
    </row>
    <row r="24" spans="1:5" x14ac:dyDescent="0.2">
      <c r="A24" s="1">
        <f t="shared" si="0"/>
        <v>1821610112</v>
      </c>
      <c r="B24" s="1">
        <v>87</v>
      </c>
      <c r="C24" s="1">
        <v>3</v>
      </c>
      <c r="D24" s="1">
        <v>3</v>
      </c>
      <c r="E24" s="1">
        <v>8</v>
      </c>
    </row>
    <row r="25" spans="1:5" x14ac:dyDescent="0.2">
      <c r="A25" s="1">
        <f t="shared" si="0"/>
        <v>1821610113</v>
      </c>
      <c r="B25" s="1">
        <v>32</v>
      </c>
      <c r="C25" s="1">
        <v>4</v>
      </c>
      <c r="D25" s="1">
        <v>2</v>
      </c>
      <c r="E25" s="1">
        <v>7</v>
      </c>
    </row>
    <row r="26" spans="1:5" x14ac:dyDescent="0.2">
      <c r="A26" s="1">
        <f t="shared" si="0"/>
        <v>1821610114</v>
      </c>
      <c r="B26" s="1">
        <v>76</v>
      </c>
      <c r="C26" s="1">
        <v>5</v>
      </c>
      <c r="D26" s="1">
        <v>1</v>
      </c>
      <c r="E26" s="1">
        <v>4</v>
      </c>
    </row>
    <row r="27" spans="1:5" x14ac:dyDescent="0.2">
      <c r="A27" s="1">
        <f t="shared" si="0"/>
        <v>1821610115</v>
      </c>
      <c r="B27" s="1">
        <v>38</v>
      </c>
      <c r="C27" s="1">
        <v>7</v>
      </c>
      <c r="D27" s="1">
        <v>4</v>
      </c>
      <c r="E27" s="1">
        <v>7</v>
      </c>
    </row>
    <row r="28" spans="1:5" x14ac:dyDescent="0.2">
      <c r="A28" s="1">
        <f t="shared" si="0"/>
        <v>1821610116</v>
      </c>
      <c r="B28" s="1">
        <v>23</v>
      </c>
      <c r="C28" s="1">
        <v>1</v>
      </c>
      <c r="D28" s="1">
        <v>2</v>
      </c>
      <c r="E28" s="1">
        <v>8</v>
      </c>
    </row>
    <row r="29" spans="1:5" x14ac:dyDescent="0.2">
      <c r="A29" s="1">
        <f t="shared" si="0"/>
        <v>1821610117</v>
      </c>
      <c r="B29" s="1">
        <v>53</v>
      </c>
      <c r="C29" s="1">
        <v>5</v>
      </c>
      <c r="D29" s="1">
        <v>4</v>
      </c>
      <c r="E29" s="1">
        <v>9</v>
      </c>
    </row>
    <row r="30" spans="1:5" x14ac:dyDescent="0.2">
      <c r="A30" s="1">
        <f t="shared" si="0"/>
        <v>1821610118</v>
      </c>
      <c r="B30" s="1">
        <v>65</v>
      </c>
      <c r="C30" s="1">
        <v>8</v>
      </c>
      <c r="D30" s="1">
        <v>5</v>
      </c>
      <c r="E30" s="1">
        <v>8</v>
      </c>
    </row>
    <row r="31" spans="1:5" x14ac:dyDescent="0.2">
      <c r="A31" s="1">
        <f t="shared" si="0"/>
        <v>1821610119</v>
      </c>
      <c r="B31" s="1">
        <v>23</v>
      </c>
      <c r="C31" s="1">
        <v>4</v>
      </c>
      <c r="D31" s="1">
        <v>2</v>
      </c>
      <c r="E31" s="1">
        <v>7</v>
      </c>
    </row>
    <row r="32" spans="1:5" x14ac:dyDescent="0.2">
      <c r="A32" s="1">
        <f t="shared" si="0"/>
        <v>1821610120</v>
      </c>
      <c r="B32" s="1">
        <v>65</v>
      </c>
      <c r="C32" s="1">
        <v>2</v>
      </c>
      <c r="D32" s="1">
        <v>1</v>
      </c>
      <c r="E32" s="1">
        <v>8</v>
      </c>
    </row>
    <row r="33" spans="1:5" x14ac:dyDescent="0.2">
      <c r="A33" s="1">
        <f t="shared" si="0"/>
        <v>1821610121</v>
      </c>
      <c r="B33" s="1">
        <v>23</v>
      </c>
      <c r="C33" s="1">
        <v>6</v>
      </c>
      <c r="D33" s="1">
        <v>3</v>
      </c>
      <c r="E33" s="1">
        <v>5</v>
      </c>
    </row>
    <row r="34" spans="1:5" x14ac:dyDescent="0.2">
      <c r="A34" s="1">
        <f t="shared" si="0"/>
        <v>1821610122</v>
      </c>
      <c r="B34" s="1">
        <v>73</v>
      </c>
      <c r="C34" s="1">
        <v>8</v>
      </c>
      <c r="D34" s="1">
        <v>5</v>
      </c>
      <c r="E34" s="1">
        <v>4</v>
      </c>
    </row>
    <row r="35" spans="1:5" x14ac:dyDescent="0.2">
      <c r="A35" s="1">
        <f t="shared" si="0"/>
        <v>1821610123</v>
      </c>
      <c r="B35" s="1">
        <v>52</v>
      </c>
      <c r="C35" s="1">
        <v>7</v>
      </c>
      <c r="D35" s="1">
        <v>4</v>
      </c>
      <c r="E35" s="1">
        <v>5</v>
      </c>
    </row>
    <row r="36" spans="1:5" x14ac:dyDescent="0.2">
      <c r="A36" s="1">
        <f t="shared" si="0"/>
        <v>1821610124</v>
      </c>
      <c r="B36" s="1">
        <v>76</v>
      </c>
      <c r="C36" s="1">
        <v>4</v>
      </c>
      <c r="D36" s="1">
        <v>1</v>
      </c>
      <c r="E36" s="1">
        <v>1</v>
      </c>
    </row>
    <row r="37" spans="1:5" x14ac:dyDescent="0.2">
      <c r="A37" s="1">
        <f t="shared" si="0"/>
        <v>1821610125</v>
      </c>
      <c r="B37" s="1">
        <v>43</v>
      </c>
      <c r="C37" s="1">
        <v>3</v>
      </c>
      <c r="D37" s="1">
        <v>2</v>
      </c>
      <c r="E37" s="1">
        <v>8</v>
      </c>
    </row>
    <row r="38" spans="1:5" x14ac:dyDescent="0.2">
      <c r="A38" s="1">
        <f t="shared" si="0"/>
        <v>1821610126</v>
      </c>
      <c r="B38" s="1">
        <v>8</v>
      </c>
      <c r="C38" s="1">
        <v>6</v>
      </c>
      <c r="D38" s="1">
        <v>3</v>
      </c>
      <c r="E38" s="1">
        <v>1</v>
      </c>
    </row>
    <row r="39" spans="1:5" x14ac:dyDescent="0.2">
      <c r="A39" s="1">
        <f t="shared" si="0"/>
        <v>1821610127</v>
      </c>
      <c r="B39" s="1">
        <v>1</v>
      </c>
      <c r="C39" s="1">
        <v>9</v>
      </c>
      <c r="D39" s="1">
        <v>1</v>
      </c>
      <c r="E39" s="1">
        <v>4</v>
      </c>
    </row>
    <row r="40" spans="1:5" x14ac:dyDescent="0.2">
      <c r="A40" s="1">
        <f t="shared" si="0"/>
        <v>1821610128</v>
      </c>
      <c r="B40" s="1">
        <v>0</v>
      </c>
      <c r="C40" s="1">
        <v>4</v>
      </c>
      <c r="D40" s="1">
        <v>4</v>
      </c>
      <c r="E40" s="1">
        <v>8</v>
      </c>
    </row>
    <row r="41" spans="1:5" x14ac:dyDescent="0.2">
      <c r="A41" s="1">
        <f t="shared" si="0"/>
        <v>1821610129</v>
      </c>
      <c r="B41" s="1">
        <v>1</v>
      </c>
      <c r="C41" s="1">
        <v>1</v>
      </c>
      <c r="D41" s="1">
        <v>5</v>
      </c>
      <c r="E41" s="1">
        <v>7</v>
      </c>
    </row>
    <row r="42" spans="1:5" x14ac:dyDescent="0.2">
      <c r="A42" s="1">
        <f t="shared" si="0"/>
        <v>1821610130</v>
      </c>
      <c r="B42" s="1">
        <v>6</v>
      </c>
      <c r="C42" s="1">
        <v>2</v>
      </c>
      <c r="D42" s="1">
        <v>2</v>
      </c>
      <c r="E42" s="1">
        <v>7</v>
      </c>
    </row>
    <row r="43" spans="1:5" x14ac:dyDescent="0.2">
      <c r="A43" s="1">
        <f t="shared" si="0"/>
        <v>1821610131</v>
      </c>
      <c r="B43" s="1">
        <v>10</v>
      </c>
      <c r="C43" s="1">
        <v>8</v>
      </c>
      <c r="D43" s="1">
        <v>1</v>
      </c>
      <c r="E43" s="1">
        <v>9</v>
      </c>
    </row>
    <row r="44" spans="1:5" x14ac:dyDescent="0.2">
      <c r="A44" s="1">
        <f t="shared" si="0"/>
        <v>1821610132</v>
      </c>
      <c r="B44" s="1">
        <v>100</v>
      </c>
      <c r="C44" s="1">
        <v>6</v>
      </c>
      <c r="D44" s="1">
        <v>3</v>
      </c>
      <c r="E44" s="1">
        <v>6</v>
      </c>
    </row>
    <row r="45" spans="1:5" x14ac:dyDescent="0.2">
      <c r="A45" s="1">
        <f t="shared" si="0"/>
        <v>1821610133</v>
      </c>
      <c r="B45" s="1">
        <v>43</v>
      </c>
      <c r="C45" s="1">
        <v>2</v>
      </c>
      <c r="D45" s="1">
        <v>4</v>
      </c>
      <c r="E45" s="1">
        <v>8</v>
      </c>
    </row>
    <row r="46" spans="1:5" x14ac:dyDescent="0.2">
      <c r="A46" s="1">
        <f t="shared" si="0"/>
        <v>1821610134</v>
      </c>
      <c r="B46" s="1">
        <v>79</v>
      </c>
      <c r="C46" s="1">
        <v>1</v>
      </c>
      <c r="D46" s="1">
        <v>1</v>
      </c>
      <c r="E46" s="1">
        <v>7</v>
      </c>
    </row>
    <row r="47" spans="1:5" x14ac:dyDescent="0.2">
      <c r="A47" s="1">
        <f t="shared" si="0"/>
        <v>1821610135</v>
      </c>
      <c r="B47" s="1">
        <v>54</v>
      </c>
      <c r="C47" s="1">
        <v>4</v>
      </c>
      <c r="D47" s="1">
        <v>3</v>
      </c>
      <c r="E47" s="1">
        <v>4</v>
      </c>
    </row>
    <row r="48" spans="1:5" x14ac:dyDescent="0.2">
      <c r="A48" s="1">
        <f t="shared" si="0"/>
        <v>1821610136</v>
      </c>
      <c r="B48" s="1">
        <v>34</v>
      </c>
      <c r="C48" s="1">
        <v>5</v>
      </c>
      <c r="D48" s="1">
        <v>5</v>
      </c>
      <c r="E48" s="1">
        <v>5</v>
      </c>
    </row>
    <row r="49" spans="1:5" x14ac:dyDescent="0.2">
      <c r="A49" s="1">
        <f t="shared" si="0"/>
        <v>1821610137</v>
      </c>
      <c r="B49" s="1">
        <v>43</v>
      </c>
      <c r="C49" s="1">
        <v>6</v>
      </c>
      <c r="D49" s="1">
        <v>2</v>
      </c>
      <c r="E49" s="1">
        <v>2</v>
      </c>
    </row>
    <row r="50" spans="1:5" x14ac:dyDescent="0.2">
      <c r="A50" s="1">
        <f t="shared" si="0"/>
        <v>1821610138</v>
      </c>
      <c r="B50" s="1">
        <v>23</v>
      </c>
      <c r="C50" s="1">
        <v>3</v>
      </c>
      <c r="D50" s="1">
        <v>4</v>
      </c>
      <c r="E50" s="1">
        <v>1</v>
      </c>
    </row>
    <row r="51" spans="1:5" x14ac:dyDescent="0.2">
      <c r="A51" s="1">
        <f t="shared" si="0"/>
        <v>1821610139</v>
      </c>
      <c r="B51" s="1">
        <v>87</v>
      </c>
      <c r="C51" s="1">
        <v>2</v>
      </c>
      <c r="D51" s="1">
        <v>5</v>
      </c>
      <c r="E51" s="1">
        <v>2</v>
      </c>
    </row>
    <row r="52" spans="1:5" x14ac:dyDescent="0.2">
      <c r="A52" s="1">
        <f t="shared" si="0"/>
        <v>1821610140</v>
      </c>
      <c r="B52" s="1">
        <v>54</v>
      </c>
      <c r="C52" s="1">
        <v>4</v>
      </c>
      <c r="D52" s="1">
        <v>4</v>
      </c>
      <c r="E52" s="1">
        <v>4</v>
      </c>
    </row>
    <row r="53" spans="1:5" x14ac:dyDescent="0.2">
      <c r="A53" s="1">
        <f t="shared" si="0"/>
        <v>1821610141</v>
      </c>
      <c r="B53" s="1">
        <v>76</v>
      </c>
      <c r="C53" s="1">
        <v>5</v>
      </c>
      <c r="D53" s="1">
        <v>1</v>
      </c>
      <c r="E53" s="1">
        <v>7</v>
      </c>
    </row>
    <row r="54" spans="1:5" x14ac:dyDescent="0.2">
      <c r="A54" s="1">
        <f t="shared" si="0"/>
        <v>1821610142</v>
      </c>
      <c r="B54" s="1">
        <v>34</v>
      </c>
      <c r="C54" s="1">
        <v>8</v>
      </c>
      <c r="D54" s="1">
        <v>2</v>
      </c>
      <c r="E54" s="1">
        <v>8</v>
      </c>
    </row>
    <row r="55" spans="1:5" x14ac:dyDescent="0.2">
      <c r="A55" s="1">
        <f t="shared" si="0"/>
        <v>1821610143</v>
      </c>
      <c r="B55" s="1">
        <v>54</v>
      </c>
      <c r="C55" s="1">
        <v>5</v>
      </c>
      <c r="D55" s="1">
        <v>5</v>
      </c>
      <c r="E55" s="1">
        <v>7</v>
      </c>
    </row>
    <row r="56" spans="1:5" x14ac:dyDescent="0.2">
      <c r="A56" s="1">
        <f t="shared" si="0"/>
        <v>1821610144</v>
      </c>
      <c r="B56" s="1">
        <v>62</v>
      </c>
      <c r="C56" s="1">
        <v>4</v>
      </c>
      <c r="D56" s="1">
        <v>5</v>
      </c>
      <c r="E56" s="1">
        <v>8</v>
      </c>
    </row>
    <row r="57" spans="1:5" x14ac:dyDescent="0.2">
      <c r="A57" s="1">
        <f t="shared" si="0"/>
        <v>1821610145</v>
      </c>
      <c r="B57" s="1">
        <v>64</v>
      </c>
      <c r="C57" s="1">
        <v>7</v>
      </c>
      <c r="D57" s="1">
        <v>5</v>
      </c>
      <c r="E57" s="1">
        <v>7</v>
      </c>
    </row>
    <row r="58" spans="1:5" x14ac:dyDescent="0.2">
      <c r="A58" s="1">
        <f t="shared" si="0"/>
        <v>1821610146</v>
      </c>
      <c r="B58" s="1">
        <v>23</v>
      </c>
      <c r="C58" s="1">
        <v>8</v>
      </c>
      <c r="D58" s="1">
        <v>4</v>
      </c>
      <c r="E58" s="1">
        <v>9</v>
      </c>
    </row>
    <row r="59" spans="1:5" x14ac:dyDescent="0.2">
      <c r="A59" s="1">
        <f t="shared" si="0"/>
        <v>1821610147</v>
      </c>
      <c r="B59" s="1">
        <v>65</v>
      </c>
      <c r="C59" s="1">
        <v>9</v>
      </c>
      <c r="D59" s="1">
        <v>5</v>
      </c>
      <c r="E59" s="1">
        <v>6</v>
      </c>
    </row>
    <row r="60" spans="1:5" x14ac:dyDescent="0.2">
      <c r="A60" s="1">
        <f t="shared" si="0"/>
        <v>1821610148</v>
      </c>
      <c r="B60" s="1">
        <v>23</v>
      </c>
      <c r="C60" s="1">
        <v>6</v>
      </c>
      <c r="D60" s="1">
        <v>2</v>
      </c>
      <c r="E60" s="1">
        <v>9</v>
      </c>
    </row>
    <row r="61" spans="1:5" x14ac:dyDescent="0.2">
      <c r="A61" s="1">
        <f t="shared" si="0"/>
        <v>1821610149</v>
      </c>
      <c r="B61" s="1">
        <v>67</v>
      </c>
      <c r="C61" s="1">
        <v>5</v>
      </c>
      <c r="D61" s="1">
        <v>3</v>
      </c>
      <c r="E61" s="1">
        <v>8</v>
      </c>
    </row>
    <row r="62" spans="1:5" x14ac:dyDescent="0.2">
      <c r="A62" s="1">
        <f t="shared" si="0"/>
        <v>1821610150</v>
      </c>
      <c r="B62" s="1">
        <v>23</v>
      </c>
      <c r="C62" s="1">
        <v>2</v>
      </c>
      <c r="D62" s="1">
        <v>4</v>
      </c>
      <c r="E62" s="1">
        <v>9</v>
      </c>
    </row>
    <row r="63" spans="1:5" x14ac:dyDescent="0.2">
      <c r="A63" s="1">
        <f t="shared" si="0"/>
        <v>1821610151</v>
      </c>
      <c r="B63" s="1">
        <v>43</v>
      </c>
      <c r="C63" s="1">
        <v>1</v>
      </c>
      <c r="D63" s="1">
        <v>5</v>
      </c>
      <c r="E63" s="1">
        <v>9</v>
      </c>
    </row>
    <row r="64" spans="1:5" x14ac:dyDescent="0.2">
      <c r="A64" s="1">
        <f t="shared" si="0"/>
        <v>1821610152</v>
      </c>
      <c r="B64" s="1">
        <v>43</v>
      </c>
      <c r="C64" s="1">
        <v>4</v>
      </c>
      <c r="D64" s="1">
        <v>4</v>
      </c>
      <c r="E64" s="1">
        <v>9</v>
      </c>
    </row>
    <row r="65" spans="1:5" x14ac:dyDescent="0.2">
      <c r="A65" s="1">
        <f t="shared" si="0"/>
        <v>1821610153</v>
      </c>
      <c r="B65" s="1">
        <v>42</v>
      </c>
      <c r="C65" s="1">
        <v>5</v>
      </c>
      <c r="D65" s="1">
        <v>5</v>
      </c>
      <c r="E65" s="1">
        <v>5</v>
      </c>
    </row>
    <row r="66" spans="1:5" x14ac:dyDescent="0.2">
      <c r="A66" s="1">
        <f t="shared" si="0"/>
        <v>1821610154</v>
      </c>
      <c r="B66" s="1">
        <v>47</v>
      </c>
      <c r="C66" s="1">
        <v>6</v>
      </c>
      <c r="D66" s="1">
        <v>5</v>
      </c>
      <c r="E66" s="1">
        <v>4</v>
      </c>
    </row>
    <row r="67" spans="1:5" x14ac:dyDescent="0.2">
      <c r="A67" s="1">
        <f t="shared" si="0"/>
        <v>1821610155</v>
      </c>
      <c r="B67" s="1">
        <v>62</v>
      </c>
      <c r="C67" s="1">
        <v>9</v>
      </c>
      <c r="D67" s="1">
        <v>4</v>
      </c>
      <c r="E67" s="1">
        <v>7</v>
      </c>
    </row>
    <row r="68" spans="1:5" x14ac:dyDescent="0.2">
      <c r="A68" s="1">
        <f t="shared" si="0"/>
        <v>1821610156</v>
      </c>
      <c r="B68" s="1">
        <v>43</v>
      </c>
      <c r="C68" s="1">
        <v>8</v>
      </c>
      <c r="D68" s="1">
        <v>2</v>
      </c>
      <c r="E68" s="1">
        <v>8</v>
      </c>
    </row>
    <row r="69" spans="1:5" x14ac:dyDescent="0.2">
      <c r="A69" s="1">
        <f t="shared" si="0"/>
        <v>1821610157</v>
      </c>
      <c r="B69" s="1">
        <v>65</v>
      </c>
      <c r="C69" s="1">
        <v>7</v>
      </c>
      <c r="D69" s="1">
        <v>3</v>
      </c>
      <c r="E69" s="1">
        <v>7</v>
      </c>
    </row>
    <row r="70" spans="1:5" x14ac:dyDescent="0.2">
      <c r="A70" s="1">
        <f t="shared" si="0"/>
        <v>1821610158</v>
      </c>
      <c r="B70" s="1">
        <v>23</v>
      </c>
      <c r="C70" s="1">
        <v>8</v>
      </c>
      <c r="D70" s="1">
        <v>1</v>
      </c>
      <c r="E70" s="1">
        <v>10</v>
      </c>
    </row>
    <row r="71" spans="1:5" x14ac:dyDescent="0.2">
      <c r="A71" s="1">
        <f t="shared" si="0"/>
        <v>1821610159</v>
      </c>
      <c r="B71" s="1">
        <v>46</v>
      </c>
      <c r="C71" s="1">
        <v>9</v>
      </c>
      <c r="D71" s="1">
        <v>5</v>
      </c>
      <c r="E71" s="1">
        <v>1</v>
      </c>
    </row>
    <row r="72" spans="1:5" x14ac:dyDescent="0.2">
      <c r="A72" s="1">
        <f t="shared" si="0"/>
        <v>1821610160</v>
      </c>
      <c r="B72" s="1">
        <v>32</v>
      </c>
      <c r="C72" s="1">
        <v>6</v>
      </c>
      <c r="D72" s="1">
        <v>4</v>
      </c>
      <c r="E72" s="1">
        <v>10</v>
      </c>
    </row>
    <row r="73" spans="1:5" x14ac:dyDescent="0.2">
      <c r="A73" s="1">
        <f t="shared" si="0"/>
        <v>1821610161</v>
      </c>
      <c r="B73" s="1">
        <v>64</v>
      </c>
      <c r="C73" s="1">
        <v>5</v>
      </c>
      <c r="D73" s="1">
        <v>1</v>
      </c>
      <c r="E73" s="1">
        <v>9</v>
      </c>
    </row>
    <row r="74" spans="1:5" x14ac:dyDescent="0.2">
      <c r="A74" s="1">
        <f t="shared" si="0"/>
        <v>1821610162</v>
      </c>
      <c r="B74" s="1">
        <v>35</v>
      </c>
      <c r="C74" s="1">
        <v>4</v>
      </c>
      <c r="D74" s="1">
        <v>1</v>
      </c>
      <c r="E74" s="1">
        <v>8</v>
      </c>
    </row>
    <row r="75" spans="1:5" x14ac:dyDescent="0.2">
      <c r="A75" s="1">
        <f t="shared" si="0"/>
        <v>1821610163</v>
      </c>
      <c r="B75" s="1">
        <v>27</v>
      </c>
      <c r="C75" s="1">
        <v>7</v>
      </c>
      <c r="D75" s="1">
        <v>2</v>
      </c>
      <c r="E75" s="1">
        <v>7</v>
      </c>
    </row>
    <row r="76" spans="1:5" x14ac:dyDescent="0.2">
      <c r="A76" s="1">
        <f t="shared" si="0"/>
        <v>1821610164</v>
      </c>
      <c r="B76" s="1">
        <v>35</v>
      </c>
      <c r="C76" s="1">
        <v>8</v>
      </c>
      <c r="D76" s="1">
        <v>5</v>
      </c>
      <c r="E76" s="1">
        <v>4</v>
      </c>
    </row>
    <row r="77" spans="1:5" x14ac:dyDescent="0.2">
      <c r="A77" s="1">
        <f t="shared" si="0"/>
        <v>1821610165</v>
      </c>
      <c r="B77" s="1">
        <v>23</v>
      </c>
      <c r="C77" s="1">
        <v>5</v>
      </c>
      <c r="D77" s="1">
        <v>4</v>
      </c>
      <c r="E77" s="1">
        <v>1</v>
      </c>
    </row>
    <row r="78" spans="1:5" x14ac:dyDescent="0.2">
      <c r="A78" s="1">
        <f t="shared" ref="A78:A111" si="1">SUM(A77+1)</f>
        <v>1821610166</v>
      </c>
      <c r="B78" s="1">
        <v>62</v>
      </c>
      <c r="C78" s="1">
        <v>6</v>
      </c>
      <c r="D78" s="1">
        <v>5</v>
      </c>
      <c r="E78" s="1">
        <v>5</v>
      </c>
    </row>
    <row r="79" spans="1:5" x14ac:dyDescent="0.2">
      <c r="A79" s="1">
        <f t="shared" si="1"/>
        <v>1821610167</v>
      </c>
      <c r="B79" s="1">
        <v>85</v>
      </c>
      <c r="C79" s="1">
        <v>4</v>
      </c>
      <c r="D79" s="1">
        <v>0</v>
      </c>
      <c r="E79" s="1">
        <v>7</v>
      </c>
    </row>
    <row r="80" spans="1:5" x14ac:dyDescent="0.2">
      <c r="A80" s="1">
        <f t="shared" si="1"/>
        <v>1821610168</v>
      </c>
      <c r="B80" s="1">
        <v>34</v>
      </c>
      <c r="C80" s="1">
        <v>5</v>
      </c>
      <c r="D80" s="1">
        <v>1</v>
      </c>
      <c r="E80" s="1">
        <v>8</v>
      </c>
    </row>
    <row r="81" spans="1:5" x14ac:dyDescent="0.2">
      <c r="A81" s="1">
        <f t="shared" si="1"/>
        <v>1821610169</v>
      </c>
      <c r="B81" s="1">
        <v>62</v>
      </c>
      <c r="C81" s="1">
        <v>6</v>
      </c>
      <c r="D81" s="1">
        <v>4</v>
      </c>
      <c r="E81" s="1">
        <v>7</v>
      </c>
    </row>
    <row r="82" spans="1:5" x14ac:dyDescent="0.2">
      <c r="A82" s="1">
        <f t="shared" si="1"/>
        <v>1821610170</v>
      </c>
      <c r="B82" s="1">
        <v>46</v>
      </c>
      <c r="C82" s="1">
        <v>5</v>
      </c>
      <c r="D82" s="1">
        <v>5</v>
      </c>
      <c r="E82" s="1">
        <v>6</v>
      </c>
    </row>
    <row r="83" spans="1:5" x14ac:dyDescent="0.2">
      <c r="A83" s="1">
        <f t="shared" si="1"/>
        <v>1821610171</v>
      </c>
      <c r="B83" s="1">
        <v>47</v>
      </c>
      <c r="C83" s="1">
        <v>9</v>
      </c>
      <c r="D83" s="1">
        <v>2</v>
      </c>
      <c r="E83" s="1">
        <v>5</v>
      </c>
    </row>
    <row r="84" spans="1:5" x14ac:dyDescent="0.2">
      <c r="A84" s="1">
        <f t="shared" si="1"/>
        <v>1821610172</v>
      </c>
      <c r="B84" s="1">
        <v>14</v>
      </c>
      <c r="C84" s="1">
        <v>5</v>
      </c>
      <c r="D84" s="1">
        <v>1</v>
      </c>
      <c r="E84" s="1">
        <v>8</v>
      </c>
    </row>
    <row r="85" spans="1:5" x14ac:dyDescent="0.2">
      <c r="A85" s="1">
        <f t="shared" si="1"/>
        <v>1821610173</v>
      </c>
      <c r="B85" s="1">
        <v>34</v>
      </c>
      <c r="C85" s="1">
        <v>5</v>
      </c>
      <c r="D85" s="1">
        <v>4</v>
      </c>
      <c r="E85" s="1">
        <v>4</v>
      </c>
    </row>
    <row r="86" spans="1:5" x14ac:dyDescent="0.2">
      <c r="A86" s="1">
        <f t="shared" si="1"/>
        <v>1821610174</v>
      </c>
      <c r="B86" s="1">
        <v>83</v>
      </c>
      <c r="C86" s="1">
        <v>4</v>
      </c>
      <c r="D86" s="1">
        <v>5</v>
      </c>
      <c r="E86" s="1">
        <v>8</v>
      </c>
    </row>
    <row r="87" spans="1:5" x14ac:dyDescent="0.2">
      <c r="A87" s="1">
        <f t="shared" si="1"/>
        <v>1821610175</v>
      </c>
      <c r="B87" s="1">
        <v>27</v>
      </c>
      <c r="C87" s="1">
        <v>6</v>
      </c>
      <c r="D87" s="1">
        <v>2</v>
      </c>
      <c r="E87" s="1">
        <v>7</v>
      </c>
    </row>
    <row r="88" spans="1:5" x14ac:dyDescent="0.2">
      <c r="A88" s="1">
        <f t="shared" si="1"/>
        <v>1821610176</v>
      </c>
      <c r="B88" s="1">
        <v>45</v>
      </c>
      <c r="C88" s="1">
        <v>9</v>
      </c>
      <c r="D88" s="1">
        <v>1</v>
      </c>
      <c r="E88" s="1">
        <v>9</v>
      </c>
    </row>
    <row r="89" spans="1:5" x14ac:dyDescent="0.2">
      <c r="A89" s="1">
        <f t="shared" si="1"/>
        <v>1821610177</v>
      </c>
      <c r="B89" s="1">
        <v>34</v>
      </c>
      <c r="C89" s="1">
        <v>7</v>
      </c>
      <c r="D89" s="1">
        <v>3</v>
      </c>
      <c r="E89" s="1">
        <v>8</v>
      </c>
    </row>
    <row r="90" spans="1:5" x14ac:dyDescent="0.2">
      <c r="A90" s="1">
        <f t="shared" si="1"/>
        <v>1821610178</v>
      </c>
      <c r="B90" s="1">
        <v>37</v>
      </c>
      <c r="C90" s="1">
        <v>5</v>
      </c>
      <c r="D90" s="1">
        <v>5</v>
      </c>
      <c r="E90" s="1">
        <v>5</v>
      </c>
    </row>
    <row r="91" spans="1:5" x14ac:dyDescent="0.2">
      <c r="A91" s="1">
        <f t="shared" si="1"/>
        <v>1821610179</v>
      </c>
      <c r="B91" s="1">
        <v>75</v>
      </c>
      <c r="C91" s="1">
        <v>2</v>
      </c>
      <c r="D91" s="1">
        <v>4</v>
      </c>
      <c r="E91" s="1">
        <v>4</v>
      </c>
    </row>
    <row r="92" spans="1:5" x14ac:dyDescent="0.2">
      <c r="A92" s="1">
        <f t="shared" si="1"/>
        <v>1821610180</v>
      </c>
      <c r="B92" s="1">
        <v>24</v>
      </c>
      <c r="C92" s="1">
        <v>1</v>
      </c>
      <c r="D92" s="1">
        <v>1</v>
      </c>
      <c r="E92" s="1">
        <v>7</v>
      </c>
    </row>
    <row r="93" spans="1:5" x14ac:dyDescent="0.2">
      <c r="A93" s="1">
        <f t="shared" si="1"/>
        <v>1821610181</v>
      </c>
      <c r="B93" s="1">
        <v>67</v>
      </c>
      <c r="C93" s="1">
        <v>3</v>
      </c>
      <c r="D93" s="1">
        <v>2</v>
      </c>
      <c r="E93" s="1">
        <v>8</v>
      </c>
    </row>
    <row r="94" spans="1:5" x14ac:dyDescent="0.2">
      <c r="A94" s="1">
        <f t="shared" si="1"/>
        <v>1821610182</v>
      </c>
      <c r="B94" s="1">
        <v>65</v>
      </c>
      <c r="C94" s="1">
        <v>6</v>
      </c>
      <c r="D94" s="1">
        <v>3</v>
      </c>
      <c r="E94" s="1">
        <v>7</v>
      </c>
    </row>
    <row r="95" spans="1:5" x14ac:dyDescent="0.2">
      <c r="A95" s="1">
        <f t="shared" si="1"/>
        <v>1821610183</v>
      </c>
      <c r="B95" s="1">
        <v>36</v>
      </c>
      <c r="C95" s="1">
        <v>4</v>
      </c>
      <c r="D95" s="1">
        <v>2</v>
      </c>
      <c r="E95" s="1">
        <v>9</v>
      </c>
    </row>
    <row r="96" spans="1:5" x14ac:dyDescent="0.2">
      <c r="A96" s="1">
        <f t="shared" si="1"/>
        <v>1821610184</v>
      </c>
      <c r="B96" s="1">
        <v>45</v>
      </c>
      <c r="C96" s="1">
        <v>7</v>
      </c>
      <c r="D96" s="1">
        <v>1</v>
      </c>
      <c r="E96" s="1">
        <v>8</v>
      </c>
    </row>
    <row r="97" spans="1:5" x14ac:dyDescent="0.2">
      <c r="A97" s="1">
        <f t="shared" si="1"/>
        <v>1821610185</v>
      </c>
      <c r="B97" s="1">
        <v>9</v>
      </c>
      <c r="C97" s="1">
        <v>8</v>
      </c>
      <c r="D97" s="1">
        <v>4</v>
      </c>
      <c r="E97" s="1">
        <v>7</v>
      </c>
    </row>
    <row r="98" spans="1:5" x14ac:dyDescent="0.2">
      <c r="A98" s="1">
        <f t="shared" si="1"/>
        <v>1821610186</v>
      </c>
      <c r="B98" s="1">
        <v>5</v>
      </c>
      <c r="C98" s="1">
        <v>9</v>
      </c>
      <c r="D98" s="1">
        <v>5</v>
      </c>
      <c r="E98" s="1">
        <v>8</v>
      </c>
    </row>
    <row r="99" spans="1:5" x14ac:dyDescent="0.2">
      <c r="A99" s="1">
        <f t="shared" si="1"/>
        <v>1821610187</v>
      </c>
      <c r="B99" s="1">
        <v>7</v>
      </c>
      <c r="C99" s="1">
        <v>8</v>
      </c>
      <c r="D99" s="1">
        <v>2</v>
      </c>
      <c r="E99" s="1">
        <v>8</v>
      </c>
    </row>
    <row r="100" spans="1:5" x14ac:dyDescent="0.2">
      <c r="A100" s="1">
        <f t="shared" si="1"/>
        <v>1821610188</v>
      </c>
      <c r="B100" s="1">
        <v>32</v>
      </c>
      <c r="C100" s="1">
        <v>7</v>
      </c>
      <c r="D100" s="1">
        <v>3</v>
      </c>
      <c r="E100" s="1">
        <v>7</v>
      </c>
    </row>
    <row r="101" spans="1:5" x14ac:dyDescent="0.2">
      <c r="A101" s="1">
        <f t="shared" si="1"/>
        <v>1821610189</v>
      </c>
      <c r="B101" s="1">
        <v>64</v>
      </c>
      <c r="C101" s="1">
        <v>1</v>
      </c>
      <c r="D101" s="1">
        <v>1</v>
      </c>
      <c r="E101" s="1">
        <v>9</v>
      </c>
    </row>
    <row r="102" spans="1:5" x14ac:dyDescent="0.2">
      <c r="A102" s="1">
        <f t="shared" si="1"/>
        <v>1821610190</v>
      </c>
      <c r="B102" s="1">
        <v>34</v>
      </c>
      <c r="C102" s="1">
        <v>3</v>
      </c>
      <c r="D102" s="1">
        <v>4</v>
      </c>
      <c r="E102" s="1">
        <v>8</v>
      </c>
    </row>
    <row r="103" spans="1:5" x14ac:dyDescent="0.2">
      <c r="A103" s="1">
        <f t="shared" si="1"/>
        <v>1821610191</v>
      </c>
      <c r="B103" s="1">
        <v>64</v>
      </c>
      <c r="C103" s="1">
        <v>5</v>
      </c>
      <c r="D103" s="1">
        <v>5</v>
      </c>
      <c r="E103" s="1">
        <v>6</v>
      </c>
    </row>
    <row r="104" spans="1:5" x14ac:dyDescent="0.2">
      <c r="A104" s="1">
        <f t="shared" si="1"/>
        <v>1821610192</v>
      </c>
      <c r="B104" s="1">
        <v>63</v>
      </c>
      <c r="C104" s="1">
        <v>4</v>
      </c>
      <c r="D104" s="1">
        <v>2</v>
      </c>
      <c r="E104" s="1">
        <v>5</v>
      </c>
    </row>
    <row r="105" spans="1:5" x14ac:dyDescent="0.2">
      <c r="A105" s="1">
        <f t="shared" si="1"/>
        <v>1821610193</v>
      </c>
      <c r="B105" s="1">
        <v>86</v>
      </c>
      <c r="C105" s="1">
        <v>6</v>
      </c>
      <c r="D105" s="1">
        <v>3</v>
      </c>
      <c r="E105" s="1">
        <v>8</v>
      </c>
    </row>
    <row r="106" spans="1:5" x14ac:dyDescent="0.2">
      <c r="A106" s="1">
        <f t="shared" si="1"/>
        <v>1821610194</v>
      </c>
      <c r="B106" s="1">
        <v>32</v>
      </c>
      <c r="C106" s="1">
        <v>5</v>
      </c>
      <c r="D106" s="1">
        <v>5</v>
      </c>
      <c r="E106" s="1">
        <v>7</v>
      </c>
    </row>
    <row r="107" spans="1:5" x14ac:dyDescent="0.2">
      <c r="A107" s="1">
        <f t="shared" si="1"/>
        <v>1821610195</v>
      </c>
      <c r="B107" s="1">
        <v>74</v>
      </c>
      <c r="C107" s="1">
        <v>7</v>
      </c>
      <c r="D107" s="1">
        <v>4</v>
      </c>
      <c r="E107" s="1">
        <v>8</v>
      </c>
    </row>
    <row r="108" spans="1:5" x14ac:dyDescent="0.2">
      <c r="A108" s="1">
        <f t="shared" si="1"/>
        <v>1821610196</v>
      </c>
      <c r="B108" s="1">
        <v>95</v>
      </c>
      <c r="C108" s="1">
        <v>9</v>
      </c>
      <c r="D108" s="1">
        <v>5</v>
      </c>
      <c r="E108" s="1">
        <v>9</v>
      </c>
    </row>
    <row r="109" spans="1:5" x14ac:dyDescent="0.2">
      <c r="A109" s="1">
        <f t="shared" si="1"/>
        <v>1821610197</v>
      </c>
      <c r="B109" s="1">
        <v>43</v>
      </c>
      <c r="C109" s="1">
        <v>8</v>
      </c>
      <c r="D109" s="1">
        <v>4</v>
      </c>
      <c r="E109" s="1">
        <v>8</v>
      </c>
    </row>
    <row r="110" spans="1:5" x14ac:dyDescent="0.2">
      <c r="A110" s="1">
        <f t="shared" si="1"/>
        <v>1821610198</v>
      </c>
      <c r="B110" s="1">
        <v>64</v>
      </c>
      <c r="C110" s="1">
        <v>9</v>
      </c>
      <c r="D110" s="1">
        <v>5</v>
      </c>
      <c r="E110" s="1">
        <v>7</v>
      </c>
    </row>
    <row r="111" spans="1:5" x14ac:dyDescent="0.2">
      <c r="A111" s="1">
        <f t="shared" si="1"/>
        <v>1821610199</v>
      </c>
      <c r="B111" s="1">
        <v>0</v>
      </c>
      <c r="C111" s="1">
        <v>5</v>
      </c>
      <c r="D111" s="1">
        <v>5</v>
      </c>
      <c r="E111" s="1">
        <v>5</v>
      </c>
    </row>
  </sheetData>
  <phoneticPr fontId="2" type="noConversion"/>
  <pageMargins left="0.7" right="0.7" top="0.75" bottom="0.75" header="0.3" footer="0.3"/>
  <ignoredErrors>
    <ignoredError sqref="H6 C6:E8 H7:I8" calculatedColumn="1"/>
    <ignoredError sqref="I6" formulaRange="1" calculatedColumn="1"/>
  </ignoredErrors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nicolas Amurao</dc:creator>
  <cp:lastModifiedBy>Supanat Tia</cp:lastModifiedBy>
  <dcterms:created xsi:type="dcterms:W3CDTF">2020-01-10T03:34:14Z</dcterms:created>
  <dcterms:modified xsi:type="dcterms:W3CDTF">2024-12-16T09:43:59Z</dcterms:modified>
</cp:coreProperties>
</file>